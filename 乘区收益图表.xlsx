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AAAAHS\Number\starrail\"/>
    </mc:Choice>
  </mc:AlternateContent>
  <xr:revisionPtr revIDLastSave="0" documentId="13_ncr:1_{A478DCFD-9A94-4CB1-84FB-A9090ADB2C27}" xr6:coauthVersionLast="47" xr6:coauthVersionMax="47" xr10:uidLastSave="{00000000-0000-0000-0000-000000000000}"/>
  <bookViews>
    <workbookView xWindow="-110" yWindow="-110" windowWidth="38620" windowHeight="21100" activeTab="5" xr2:uid="{00000000-000D-0000-FFFF-FFFF00000000}"/>
  </bookViews>
  <sheets>
    <sheet name="总览" sheetId="1" r:id="rId1"/>
    <sheet name="参数" sheetId="2" r:id="rId2"/>
    <sheet name="属性乘区" sheetId="3" r:id="rId3"/>
    <sheet name="增伤乘区" sheetId="4" r:id="rId4"/>
    <sheet name="易伤乘区" sheetId="5" r:id="rId5"/>
    <sheet name="暴击率乘区" sheetId="6" r:id="rId6"/>
    <sheet name="暴击伤害乘区" sheetId="7" r:id="rId7"/>
    <sheet name="防御乘区" sheetId="8" r:id="rId8"/>
    <sheet name="抗性乘区" sheetId="9" r:id="rId9"/>
    <sheet name="减伤乘区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" i="10" l="1"/>
  <c r="C91" i="10" s="1"/>
  <c r="B91" i="10"/>
  <c r="C90" i="10" s="1"/>
  <c r="B90" i="10"/>
  <c r="C89" i="10" s="1"/>
  <c r="B89" i="10"/>
  <c r="C88" i="10" s="1"/>
  <c r="B88" i="10"/>
  <c r="C87" i="10" s="1"/>
  <c r="B87" i="10"/>
  <c r="C86" i="10" s="1"/>
  <c r="B86" i="10"/>
  <c r="C85" i="10" s="1"/>
  <c r="B85" i="10"/>
  <c r="C84" i="10" s="1"/>
  <c r="B84" i="10"/>
  <c r="C83" i="10" s="1"/>
  <c r="B83" i="10"/>
  <c r="C82" i="10" s="1"/>
  <c r="B82" i="10"/>
  <c r="C81" i="10" s="1"/>
  <c r="B81" i="10"/>
  <c r="C80" i="10" s="1"/>
  <c r="B80" i="10"/>
  <c r="B79" i="10"/>
  <c r="C78" i="10" s="1"/>
  <c r="B78" i="10"/>
  <c r="C77" i="10" s="1"/>
  <c r="B77" i="10"/>
  <c r="B76" i="10"/>
  <c r="C75" i="10" s="1"/>
  <c r="B75" i="10"/>
  <c r="C74" i="10" s="1"/>
  <c r="B74" i="10"/>
  <c r="C73" i="10" s="1"/>
  <c r="B73" i="10"/>
  <c r="B72" i="10"/>
  <c r="C71" i="10" s="1"/>
  <c r="B71" i="10"/>
  <c r="B70" i="10"/>
  <c r="C69" i="10" s="1"/>
  <c r="B69" i="10"/>
  <c r="C68" i="10" s="1"/>
  <c r="B68" i="10"/>
  <c r="B67" i="10"/>
  <c r="C66" i="10" s="1"/>
  <c r="B66" i="10"/>
  <c r="C65" i="10" s="1"/>
  <c r="B65" i="10"/>
  <c r="B64" i="10"/>
  <c r="B63" i="10"/>
  <c r="C62" i="10" s="1"/>
  <c r="B62" i="10"/>
  <c r="C61" i="10" s="1"/>
  <c r="B61" i="10"/>
  <c r="B60" i="10"/>
  <c r="C59" i="10" s="1"/>
  <c r="B59" i="10"/>
  <c r="C58" i="10" s="1"/>
  <c r="B58" i="10"/>
  <c r="C57" i="10" s="1"/>
  <c r="B57" i="10"/>
  <c r="C56" i="10" s="1"/>
  <c r="B56" i="10"/>
  <c r="B55" i="10"/>
  <c r="C54" i="10" s="1"/>
  <c r="B54" i="10"/>
  <c r="C53" i="10" s="1"/>
  <c r="B53" i="10"/>
  <c r="B52" i="10"/>
  <c r="C51" i="10" s="1"/>
  <c r="B51" i="10"/>
  <c r="C50" i="10" s="1"/>
  <c r="B50" i="10"/>
  <c r="C49" i="10" s="1"/>
  <c r="B49" i="10"/>
  <c r="B48" i="10"/>
  <c r="C47" i="10" s="1"/>
  <c r="B47" i="10"/>
  <c r="B46" i="10"/>
  <c r="C45" i="10" s="1"/>
  <c r="B45" i="10"/>
  <c r="C44" i="10" s="1"/>
  <c r="B44" i="10"/>
  <c r="B43" i="10"/>
  <c r="C42" i="10" s="1"/>
  <c r="B42" i="10"/>
  <c r="C41" i="10" s="1"/>
  <c r="B41" i="10"/>
  <c r="B40" i="10"/>
  <c r="B39" i="10"/>
  <c r="C38" i="10" s="1"/>
  <c r="B38" i="10"/>
  <c r="C37" i="10" s="1"/>
  <c r="B37" i="10"/>
  <c r="B36" i="10"/>
  <c r="C35" i="10" s="1"/>
  <c r="B35" i="10"/>
  <c r="C34" i="10" s="1"/>
  <c r="B34" i="10"/>
  <c r="C33" i="10" s="1"/>
  <c r="B33" i="10"/>
  <c r="C32" i="10" s="1"/>
  <c r="B32" i="10"/>
  <c r="B31" i="10"/>
  <c r="C30" i="10" s="1"/>
  <c r="B30" i="10"/>
  <c r="C29" i="10" s="1"/>
  <c r="B29" i="10"/>
  <c r="B28" i="10"/>
  <c r="C27" i="10" s="1"/>
  <c r="B27" i="10"/>
  <c r="C26" i="10" s="1"/>
  <c r="B26" i="10"/>
  <c r="C25" i="10" s="1"/>
  <c r="B25" i="10"/>
  <c r="B24" i="10"/>
  <c r="C23" i="10" s="1"/>
  <c r="B23" i="10"/>
  <c r="B22" i="10"/>
  <c r="C21" i="10" s="1"/>
  <c r="B21" i="10"/>
  <c r="C20" i="10" s="1"/>
  <c r="B20" i="10"/>
  <c r="B19" i="10"/>
  <c r="C18" i="10" s="1"/>
  <c r="B18" i="10"/>
  <c r="C17" i="10" s="1"/>
  <c r="B17" i="10"/>
  <c r="B16" i="10"/>
  <c r="B15" i="10"/>
  <c r="C14" i="10" s="1"/>
  <c r="B14" i="10"/>
  <c r="C13" i="10" s="1"/>
  <c r="B13" i="10"/>
  <c r="B12" i="10"/>
  <c r="C11" i="10" s="1"/>
  <c r="B11" i="10"/>
  <c r="C10" i="10" s="1"/>
  <c r="B10" i="10"/>
  <c r="C9" i="10" s="1"/>
  <c r="B9" i="10"/>
  <c r="C8" i="10" s="1"/>
  <c r="B8" i="10"/>
  <c r="B7" i="10"/>
  <c r="C6" i="10" s="1"/>
  <c r="B6" i="10"/>
  <c r="C5" i="10" s="1"/>
  <c r="B5" i="10"/>
  <c r="B4" i="10"/>
  <c r="C3" i="10" s="1"/>
  <c r="B3" i="10"/>
  <c r="C2" i="10" s="1"/>
  <c r="B2" i="10"/>
  <c r="B122" i="9"/>
  <c r="B121" i="9"/>
  <c r="C121" i="9" s="1"/>
  <c r="C120" i="9"/>
  <c r="B120" i="9"/>
  <c r="B119" i="9"/>
  <c r="C119" i="9" s="1"/>
  <c r="C118" i="9"/>
  <c r="B118" i="9"/>
  <c r="C117" i="9"/>
  <c r="B117" i="9"/>
  <c r="B116" i="9"/>
  <c r="C116" i="9" s="1"/>
  <c r="C115" i="9"/>
  <c r="B115" i="9"/>
  <c r="C114" i="9"/>
  <c r="B114" i="9"/>
  <c r="B113" i="9"/>
  <c r="C113" i="9" s="1"/>
  <c r="C112" i="9"/>
  <c r="B112" i="9"/>
  <c r="C111" i="9"/>
  <c r="B111" i="9"/>
  <c r="C110" i="9"/>
  <c r="B110" i="9"/>
  <c r="B109" i="9"/>
  <c r="C109" i="9" s="1"/>
  <c r="C108" i="9"/>
  <c r="B108" i="9"/>
  <c r="B107" i="9"/>
  <c r="C107" i="9" s="1"/>
  <c r="B106" i="9"/>
  <c r="C106" i="9" s="1"/>
  <c r="C105" i="9"/>
  <c r="B105" i="9"/>
  <c r="B104" i="9"/>
  <c r="C104" i="9" s="1"/>
  <c r="C103" i="9"/>
  <c r="B103" i="9"/>
  <c r="C102" i="9"/>
  <c r="B102" i="9"/>
  <c r="B101" i="9"/>
  <c r="C101" i="9" s="1"/>
  <c r="B100" i="9"/>
  <c r="C100" i="9" s="1"/>
  <c r="B99" i="9"/>
  <c r="C98" i="9"/>
  <c r="B98" i="9"/>
  <c r="B97" i="9"/>
  <c r="C97" i="9" s="1"/>
  <c r="C96" i="9"/>
  <c r="B96" i="9"/>
  <c r="B95" i="9"/>
  <c r="C95" i="9" s="1"/>
  <c r="B94" i="9"/>
  <c r="C94" i="9" s="1"/>
  <c r="C93" i="9"/>
  <c r="B93" i="9"/>
  <c r="B92" i="9"/>
  <c r="C92" i="9" s="1"/>
  <c r="C91" i="9"/>
  <c r="B91" i="9"/>
  <c r="C90" i="9"/>
  <c r="B90" i="9"/>
  <c r="B89" i="9"/>
  <c r="C89" i="9" s="1"/>
  <c r="B88" i="9"/>
  <c r="C87" i="9"/>
  <c r="B87" i="9"/>
  <c r="C86" i="9"/>
  <c r="B86" i="9"/>
  <c r="B85" i="9"/>
  <c r="C85" i="9" s="1"/>
  <c r="C84" i="9"/>
  <c r="B84" i="9"/>
  <c r="B83" i="9"/>
  <c r="C83" i="9" s="1"/>
  <c r="B82" i="9"/>
  <c r="C81" i="9"/>
  <c r="B81" i="9"/>
  <c r="B80" i="9"/>
  <c r="C80" i="9" s="1"/>
  <c r="C79" i="9"/>
  <c r="B79" i="9"/>
  <c r="C78" i="9"/>
  <c r="B78" i="9"/>
  <c r="B77" i="9"/>
  <c r="C77" i="9" s="1"/>
  <c r="C76" i="9"/>
  <c r="B76" i="9"/>
  <c r="C75" i="9" s="1"/>
  <c r="B75" i="9"/>
  <c r="C74" i="9"/>
  <c r="B74" i="9"/>
  <c r="B73" i="9"/>
  <c r="C73" i="9" s="1"/>
  <c r="C72" i="9"/>
  <c r="B72" i="9"/>
  <c r="B71" i="9"/>
  <c r="C71" i="9" s="1"/>
  <c r="B70" i="9"/>
  <c r="C70" i="9" s="1"/>
  <c r="C69" i="9"/>
  <c r="B69" i="9"/>
  <c r="B68" i="9"/>
  <c r="C68" i="9" s="1"/>
  <c r="C67" i="9"/>
  <c r="B67" i="9"/>
  <c r="C66" i="9"/>
  <c r="B66" i="9"/>
  <c r="B65" i="9"/>
  <c r="C65" i="9" s="1"/>
  <c r="C64" i="9"/>
  <c r="B64" i="9"/>
  <c r="C63" i="9"/>
  <c r="B63" i="9"/>
  <c r="C62" i="9"/>
  <c r="B62" i="9"/>
  <c r="B61" i="9"/>
  <c r="C61" i="9" s="1"/>
  <c r="C60" i="9"/>
  <c r="B60" i="9"/>
  <c r="B59" i="9"/>
  <c r="C59" i="9" s="1"/>
  <c r="B58" i="9"/>
  <c r="C58" i="9" s="1"/>
  <c r="C57" i="9"/>
  <c r="B57" i="9"/>
  <c r="B56" i="9"/>
  <c r="C56" i="9" s="1"/>
  <c r="C55" i="9"/>
  <c r="B55" i="9"/>
  <c r="C54" i="9"/>
  <c r="B54" i="9"/>
  <c r="B53" i="9"/>
  <c r="C53" i="9" s="1"/>
  <c r="B52" i="9"/>
  <c r="C52" i="9" s="1"/>
  <c r="C51" i="9"/>
  <c r="B51" i="9"/>
  <c r="C50" i="9"/>
  <c r="B50" i="9"/>
  <c r="B49" i="9"/>
  <c r="C49" i="9" s="1"/>
  <c r="C48" i="9"/>
  <c r="B48" i="9"/>
  <c r="B47" i="9"/>
  <c r="B46" i="9"/>
  <c r="C45" i="9" s="1"/>
  <c r="B45" i="9"/>
  <c r="B44" i="9"/>
  <c r="C44" i="9" s="1"/>
  <c r="C43" i="9"/>
  <c r="B43" i="9"/>
  <c r="C42" i="9"/>
  <c r="B42" i="9"/>
  <c r="B41" i="9"/>
  <c r="C41" i="9" s="1"/>
  <c r="B40" i="9"/>
  <c r="C39" i="9" s="1"/>
  <c r="B39" i="9"/>
  <c r="C38" i="9"/>
  <c r="B38" i="9"/>
  <c r="B37" i="9"/>
  <c r="C37" i="9" s="1"/>
  <c r="C36" i="9"/>
  <c r="B36" i="9"/>
  <c r="B35" i="9"/>
  <c r="C35" i="9" s="1"/>
  <c r="B34" i="9"/>
  <c r="C34" i="9" s="1"/>
  <c r="B33" i="9"/>
  <c r="B32" i="9"/>
  <c r="C32" i="9" s="1"/>
  <c r="C31" i="9"/>
  <c r="B31" i="9"/>
  <c r="C30" i="9"/>
  <c r="B30" i="9"/>
  <c r="B29" i="9"/>
  <c r="C29" i="9" s="1"/>
  <c r="B28" i="9"/>
  <c r="C28" i="9" s="1"/>
  <c r="C27" i="9"/>
  <c r="B27" i="9"/>
  <c r="C26" i="9"/>
  <c r="B26" i="9"/>
  <c r="B25" i="9"/>
  <c r="C25" i="9" s="1"/>
  <c r="C24" i="9"/>
  <c r="B24" i="9"/>
  <c r="B23" i="9"/>
  <c r="C23" i="9" s="1"/>
  <c r="B22" i="9"/>
  <c r="C22" i="9" s="1"/>
  <c r="C21" i="9"/>
  <c r="B21" i="9"/>
  <c r="B20" i="9"/>
  <c r="C20" i="9" s="1"/>
  <c r="C19" i="9"/>
  <c r="B19" i="9"/>
  <c r="C18" i="9"/>
  <c r="B18" i="9"/>
  <c r="B17" i="9"/>
  <c r="C17" i="9" s="1"/>
  <c r="B16" i="9"/>
  <c r="C15" i="9"/>
  <c r="B15" i="9"/>
  <c r="C14" i="9"/>
  <c r="B14" i="9"/>
  <c r="B13" i="9"/>
  <c r="C13" i="9" s="1"/>
  <c r="C12" i="9"/>
  <c r="B12" i="9"/>
  <c r="B11" i="9"/>
  <c r="C11" i="9" s="1"/>
  <c r="B10" i="9"/>
  <c r="C9" i="9"/>
  <c r="B9" i="9"/>
  <c r="B8" i="9"/>
  <c r="C8" i="9" s="1"/>
  <c r="C7" i="9"/>
  <c r="B7" i="9"/>
  <c r="C6" i="9"/>
  <c r="B6" i="9"/>
  <c r="B5" i="9"/>
  <c r="C5" i="9" s="1"/>
  <c r="B4" i="9"/>
  <c r="C3" i="9" s="1"/>
  <c r="B3" i="9"/>
  <c r="C2" i="9"/>
  <c r="B2" i="9"/>
  <c r="B102" i="8"/>
  <c r="B101" i="8"/>
  <c r="B100" i="8"/>
  <c r="B99" i="8"/>
  <c r="C99" i="8" s="1"/>
  <c r="B98" i="8"/>
  <c r="C97" i="8" s="1"/>
  <c r="B97" i="8"/>
  <c r="B96" i="8"/>
  <c r="B95" i="8"/>
  <c r="C94" i="8" s="1"/>
  <c r="B94" i="8"/>
  <c r="B93" i="8"/>
  <c r="C93" i="8" s="1"/>
  <c r="C92" i="8"/>
  <c r="B92" i="8"/>
  <c r="C91" i="8" s="1"/>
  <c r="B91" i="8"/>
  <c r="C90" i="8" s="1"/>
  <c r="B90" i="8"/>
  <c r="B89" i="8"/>
  <c r="C88" i="8" s="1"/>
  <c r="B88" i="8"/>
  <c r="C87" i="8"/>
  <c r="B87" i="8"/>
  <c r="B86" i="8"/>
  <c r="C85" i="8" s="1"/>
  <c r="B85" i="8"/>
  <c r="B84" i="8"/>
  <c r="B83" i="8"/>
  <c r="C82" i="8" s="1"/>
  <c r="B82" i="8"/>
  <c r="C81" i="8"/>
  <c r="B81" i="8"/>
  <c r="C80" i="8" s="1"/>
  <c r="B80" i="8"/>
  <c r="C79" i="8" s="1"/>
  <c r="B79" i="8"/>
  <c r="C78" i="8" s="1"/>
  <c r="B78" i="8"/>
  <c r="B77" i="8"/>
  <c r="C76" i="8" s="1"/>
  <c r="B76" i="8"/>
  <c r="B75" i="8"/>
  <c r="C75" i="8" s="1"/>
  <c r="B74" i="8"/>
  <c r="C73" i="8" s="1"/>
  <c r="B73" i="8"/>
  <c r="B72" i="8"/>
  <c r="C71" i="8" s="1"/>
  <c r="B71" i="8"/>
  <c r="C70" i="8" s="1"/>
  <c r="B70" i="8"/>
  <c r="B69" i="8"/>
  <c r="C69" i="8" s="1"/>
  <c r="B68" i="8"/>
  <c r="B67" i="8"/>
  <c r="C66" i="8" s="1"/>
  <c r="B66" i="8"/>
  <c r="C65" i="8"/>
  <c r="B65" i="8"/>
  <c r="C64" i="8" s="1"/>
  <c r="B64" i="8"/>
  <c r="B63" i="8"/>
  <c r="C63" i="8" s="1"/>
  <c r="B62" i="8"/>
  <c r="C61" i="8" s="1"/>
  <c r="B61" i="8"/>
  <c r="C60" i="8"/>
  <c r="B60" i="8"/>
  <c r="B59" i="8"/>
  <c r="C58" i="8" s="1"/>
  <c r="B58" i="8"/>
  <c r="B57" i="8"/>
  <c r="C56" i="8" s="1"/>
  <c r="B56" i="8"/>
  <c r="C55" i="8" s="1"/>
  <c r="B55" i="8"/>
  <c r="C54" i="8" s="1"/>
  <c r="B54" i="8"/>
  <c r="B53" i="8"/>
  <c r="C52" i="8" s="1"/>
  <c r="B52" i="8"/>
  <c r="B51" i="8"/>
  <c r="C51" i="8" s="1"/>
  <c r="B50" i="8"/>
  <c r="C49" i="8" s="1"/>
  <c r="B49" i="8"/>
  <c r="B48" i="8"/>
  <c r="B47" i="8"/>
  <c r="C46" i="8" s="1"/>
  <c r="B46" i="8"/>
  <c r="B45" i="8"/>
  <c r="C45" i="8" s="1"/>
  <c r="C44" i="8"/>
  <c r="B44" i="8"/>
  <c r="C43" i="8" s="1"/>
  <c r="B43" i="8"/>
  <c r="C42" i="8" s="1"/>
  <c r="B42" i="8"/>
  <c r="B41" i="8"/>
  <c r="C40" i="8" s="1"/>
  <c r="B40" i="8"/>
  <c r="C39" i="8"/>
  <c r="B39" i="8"/>
  <c r="B38" i="8"/>
  <c r="C37" i="8" s="1"/>
  <c r="B37" i="8"/>
  <c r="B36" i="8"/>
  <c r="B35" i="8"/>
  <c r="C34" i="8" s="1"/>
  <c r="B34" i="8"/>
  <c r="C33" i="8"/>
  <c r="B33" i="8"/>
  <c r="C32" i="8" s="1"/>
  <c r="B32" i="8"/>
  <c r="C31" i="8" s="1"/>
  <c r="B31" i="8"/>
  <c r="C30" i="8" s="1"/>
  <c r="B30" i="8"/>
  <c r="B29" i="8"/>
  <c r="C28" i="8" s="1"/>
  <c r="B28" i="8"/>
  <c r="B27" i="8"/>
  <c r="C27" i="8" s="1"/>
  <c r="B26" i="8"/>
  <c r="C25" i="8" s="1"/>
  <c r="B25" i="8"/>
  <c r="B24" i="8"/>
  <c r="C23" i="8" s="1"/>
  <c r="B23" i="8"/>
  <c r="C22" i="8" s="1"/>
  <c r="B22" i="8"/>
  <c r="B21" i="8"/>
  <c r="C21" i="8" s="1"/>
  <c r="B20" i="8"/>
  <c r="B19" i="8"/>
  <c r="C18" i="8" s="1"/>
  <c r="B18" i="8"/>
  <c r="C17" i="8"/>
  <c r="B17" i="8"/>
  <c r="C16" i="8" s="1"/>
  <c r="B16" i="8"/>
  <c r="B15" i="8"/>
  <c r="C15" i="8" s="1"/>
  <c r="B14" i="8"/>
  <c r="C13" i="8" s="1"/>
  <c r="B13" i="8"/>
  <c r="C12" i="8"/>
  <c r="B12" i="8"/>
  <c r="B11" i="8"/>
  <c r="C10" i="8" s="1"/>
  <c r="B10" i="8"/>
  <c r="B9" i="8"/>
  <c r="C8" i="8" s="1"/>
  <c r="B8" i="8"/>
  <c r="C7" i="8" s="1"/>
  <c r="B7" i="8"/>
  <c r="C6" i="8" s="1"/>
  <c r="B6" i="8"/>
  <c r="B5" i="8"/>
  <c r="C4" i="8" s="1"/>
  <c r="B4" i="8"/>
  <c r="C3" i="8"/>
  <c r="B3" i="8"/>
  <c r="B2" i="8"/>
  <c r="C2" i="8" s="1"/>
  <c r="B302" i="7"/>
  <c r="B301" i="7"/>
  <c r="C301" i="7" s="1"/>
  <c r="C300" i="7"/>
  <c r="B300" i="7"/>
  <c r="C299" i="7"/>
  <c r="B299" i="7"/>
  <c r="B298" i="7"/>
  <c r="C298" i="7" s="1"/>
  <c r="C297" i="7"/>
  <c r="B297" i="7"/>
  <c r="C296" i="7"/>
  <c r="B296" i="7"/>
  <c r="C295" i="7"/>
  <c r="B295" i="7"/>
  <c r="B294" i="7"/>
  <c r="C294" i="7" s="1"/>
  <c r="C293" i="7"/>
  <c r="B293" i="7"/>
  <c r="B292" i="7"/>
  <c r="C292" i="7" s="1"/>
  <c r="B291" i="7"/>
  <c r="C291" i="7" s="1"/>
  <c r="C290" i="7"/>
  <c r="B290" i="7"/>
  <c r="B289" i="7"/>
  <c r="C289" i="7" s="1"/>
  <c r="B288" i="7"/>
  <c r="C287" i="7"/>
  <c r="B287" i="7"/>
  <c r="B286" i="7"/>
  <c r="C286" i="7" s="1"/>
  <c r="C285" i="7"/>
  <c r="B285" i="7"/>
  <c r="C284" i="7"/>
  <c r="B284" i="7"/>
  <c r="C283" i="7"/>
  <c r="B283" i="7"/>
  <c r="B282" i="7"/>
  <c r="C282" i="7" s="1"/>
  <c r="B281" i="7"/>
  <c r="B280" i="7"/>
  <c r="B279" i="7"/>
  <c r="C278" i="7" s="1"/>
  <c r="B278" i="7"/>
  <c r="B277" i="7"/>
  <c r="C277" i="7" s="1"/>
  <c r="C276" i="7"/>
  <c r="B276" i="7"/>
  <c r="C275" i="7"/>
  <c r="B275" i="7"/>
  <c r="B274" i="7"/>
  <c r="C274" i="7" s="1"/>
  <c r="B273" i="7"/>
  <c r="C272" i="7" s="1"/>
  <c r="B272" i="7"/>
  <c r="C271" i="7"/>
  <c r="B271" i="7"/>
  <c r="B270" i="7"/>
  <c r="C270" i="7" s="1"/>
  <c r="C269" i="7"/>
  <c r="B269" i="7"/>
  <c r="B268" i="7"/>
  <c r="C268" i="7" s="1"/>
  <c r="B267" i="7"/>
  <c r="C267" i="7" s="1"/>
  <c r="C266" i="7"/>
  <c r="B266" i="7"/>
  <c r="B265" i="7"/>
  <c r="C265" i="7" s="1"/>
  <c r="C264" i="7"/>
  <c r="B264" i="7"/>
  <c r="C263" i="7"/>
  <c r="B263" i="7"/>
  <c r="B262" i="7"/>
  <c r="C262" i="7" s="1"/>
  <c r="B261" i="7"/>
  <c r="C261" i="7" s="1"/>
  <c r="B260" i="7"/>
  <c r="C259" i="7"/>
  <c r="B259" i="7"/>
  <c r="B258" i="7"/>
  <c r="C258" i="7" s="1"/>
  <c r="C257" i="7"/>
  <c r="B257" i="7"/>
  <c r="B256" i="7"/>
  <c r="C256" i="7" s="1"/>
  <c r="B255" i="7"/>
  <c r="C255" i="7" s="1"/>
  <c r="C254" i="7"/>
  <c r="B254" i="7"/>
  <c r="B253" i="7"/>
  <c r="C253" i="7" s="1"/>
  <c r="B252" i="7"/>
  <c r="C251" i="7"/>
  <c r="B251" i="7"/>
  <c r="B250" i="7"/>
  <c r="C250" i="7" s="1"/>
  <c r="B249" i="7"/>
  <c r="C248" i="7"/>
  <c r="B248" i="7"/>
  <c r="C247" i="7"/>
  <c r="B247" i="7"/>
  <c r="B246" i="7"/>
  <c r="C246" i="7" s="1"/>
  <c r="C245" i="7"/>
  <c r="B245" i="7"/>
  <c r="B244" i="7"/>
  <c r="C244" i="7" s="1"/>
  <c r="B243" i="7"/>
  <c r="C242" i="7"/>
  <c r="B242" i="7"/>
  <c r="B241" i="7"/>
  <c r="C241" i="7" s="1"/>
  <c r="C240" i="7"/>
  <c r="B240" i="7"/>
  <c r="C239" i="7"/>
  <c r="B239" i="7"/>
  <c r="B238" i="7"/>
  <c r="C238" i="7" s="1"/>
  <c r="B237" i="7"/>
  <c r="C236" i="7" s="1"/>
  <c r="B236" i="7"/>
  <c r="C235" i="7"/>
  <c r="B235" i="7"/>
  <c r="B234" i="7"/>
  <c r="C234" i="7" s="1"/>
  <c r="C233" i="7"/>
  <c r="B233" i="7"/>
  <c r="B232" i="7"/>
  <c r="C232" i="7" s="1"/>
  <c r="B231" i="7"/>
  <c r="C230" i="7"/>
  <c r="B230" i="7"/>
  <c r="B229" i="7"/>
  <c r="C229" i="7" s="1"/>
  <c r="C228" i="7"/>
  <c r="B228" i="7"/>
  <c r="C227" i="7"/>
  <c r="B227" i="7"/>
  <c r="B226" i="7"/>
  <c r="C226" i="7" s="1"/>
  <c r="C225" i="7"/>
  <c r="B225" i="7"/>
  <c r="C224" i="7"/>
  <c r="B224" i="7"/>
  <c r="C223" i="7"/>
  <c r="B223" i="7"/>
  <c r="B222" i="7"/>
  <c r="C222" i="7" s="1"/>
  <c r="C221" i="7"/>
  <c r="B221" i="7"/>
  <c r="B220" i="7"/>
  <c r="C220" i="7" s="1"/>
  <c r="B219" i="7"/>
  <c r="C219" i="7" s="1"/>
  <c r="C218" i="7"/>
  <c r="B218" i="7"/>
  <c r="B217" i="7"/>
  <c r="C217" i="7" s="1"/>
  <c r="B216" i="7"/>
  <c r="C215" i="7"/>
  <c r="B215" i="7"/>
  <c r="B214" i="7"/>
  <c r="C214" i="7" s="1"/>
  <c r="C213" i="7"/>
  <c r="B213" i="7"/>
  <c r="C212" i="7"/>
  <c r="B212" i="7"/>
  <c r="C211" i="7"/>
  <c r="B211" i="7"/>
  <c r="B210" i="7"/>
  <c r="C210" i="7" s="1"/>
  <c r="C209" i="7"/>
  <c r="B209" i="7"/>
  <c r="B208" i="7"/>
  <c r="B207" i="7"/>
  <c r="C206" i="7" s="1"/>
  <c r="B206" i="7"/>
  <c r="B205" i="7"/>
  <c r="C205" i="7" s="1"/>
  <c r="C204" i="7"/>
  <c r="B204" i="7"/>
  <c r="C203" i="7"/>
  <c r="B203" i="7"/>
  <c r="B202" i="7"/>
  <c r="C202" i="7" s="1"/>
  <c r="C201" i="7"/>
  <c r="B201" i="7"/>
  <c r="C200" i="7" s="1"/>
  <c r="B200" i="7"/>
  <c r="C199" i="7"/>
  <c r="B199" i="7"/>
  <c r="B198" i="7"/>
  <c r="C198" i="7" s="1"/>
  <c r="B197" i="7"/>
  <c r="B196" i="7"/>
  <c r="C196" i="7" s="1"/>
  <c r="C195" i="7"/>
  <c r="B195" i="7"/>
  <c r="C194" i="7"/>
  <c r="B194" i="7"/>
  <c r="B193" i="7"/>
  <c r="C193" i="7" s="1"/>
  <c r="C192" i="7"/>
  <c r="B192" i="7"/>
  <c r="C191" i="7"/>
  <c r="B191" i="7"/>
  <c r="B190" i="7"/>
  <c r="C190" i="7" s="1"/>
  <c r="B189" i="7"/>
  <c r="C189" i="7" s="1"/>
  <c r="C188" i="7"/>
  <c r="B188" i="7"/>
  <c r="C187" i="7"/>
  <c r="B187" i="7"/>
  <c r="B186" i="7"/>
  <c r="C186" i="7" s="1"/>
  <c r="C185" i="7"/>
  <c r="B185" i="7"/>
  <c r="B184" i="7"/>
  <c r="C184" i="7" s="1"/>
  <c r="C183" i="7"/>
  <c r="B183" i="7"/>
  <c r="C182" i="7"/>
  <c r="B182" i="7"/>
  <c r="B181" i="7"/>
  <c r="C181" i="7" s="1"/>
  <c r="B180" i="7"/>
  <c r="C179" i="7"/>
  <c r="B179" i="7"/>
  <c r="B178" i="7"/>
  <c r="C178" i="7" s="1"/>
  <c r="B177" i="7"/>
  <c r="C176" i="7"/>
  <c r="B176" i="7"/>
  <c r="C175" i="7"/>
  <c r="B175" i="7"/>
  <c r="B174" i="7"/>
  <c r="C174" i="7" s="1"/>
  <c r="B173" i="7"/>
  <c r="B172" i="7"/>
  <c r="C172" i="7" s="1"/>
  <c r="B171" i="7"/>
  <c r="C170" i="7"/>
  <c r="B170" i="7"/>
  <c r="B169" i="7"/>
  <c r="C169" i="7" s="1"/>
  <c r="C168" i="7"/>
  <c r="B168" i="7"/>
  <c r="C167" i="7"/>
  <c r="B167" i="7"/>
  <c r="B166" i="7"/>
  <c r="C166" i="7" s="1"/>
  <c r="C165" i="7"/>
  <c r="B165" i="7"/>
  <c r="C164" i="7" s="1"/>
  <c r="B164" i="7"/>
  <c r="C163" i="7"/>
  <c r="B163" i="7"/>
  <c r="B162" i="7"/>
  <c r="C162" i="7" s="1"/>
  <c r="C161" i="7"/>
  <c r="B161" i="7"/>
  <c r="B160" i="7"/>
  <c r="C160" i="7" s="1"/>
  <c r="B159" i="7"/>
  <c r="C159" i="7" s="1"/>
  <c r="C158" i="7"/>
  <c r="B158" i="7"/>
  <c r="B157" i="7"/>
  <c r="C157" i="7" s="1"/>
  <c r="C156" i="7"/>
  <c r="B156" i="7"/>
  <c r="C155" i="7"/>
  <c r="B155" i="7"/>
  <c r="B154" i="7"/>
  <c r="C154" i="7" s="1"/>
  <c r="C153" i="7"/>
  <c r="B153" i="7"/>
  <c r="C152" i="7"/>
  <c r="B152" i="7"/>
  <c r="C151" i="7"/>
  <c r="B151" i="7"/>
  <c r="B150" i="7"/>
  <c r="C150" i="7" s="1"/>
  <c r="C149" i="7"/>
  <c r="B149" i="7"/>
  <c r="B148" i="7"/>
  <c r="C148" i="7" s="1"/>
  <c r="B147" i="7"/>
  <c r="C147" i="7" s="1"/>
  <c r="C146" i="7"/>
  <c r="B146" i="7"/>
  <c r="B145" i="7"/>
  <c r="C145" i="7" s="1"/>
  <c r="C144" i="7"/>
  <c r="B144" i="7"/>
  <c r="C143" i="7"/>
  <c r="B143" i="7"/>
  <c r="B142" i="7"/>
  <c r="C142" i="7" s="1"/>
  <c r="C141" i="7"/>
  <c r="B141" i="7"/>
  <c r="C140" i="7"/>
  <c r="B140" i="7"/>
  <c r="C139" i="7"/>
  <c r="B139" i="7"/>
  <c r="B138" i="7"/>
  <c r="C138" i="7" s="1"/>
  <c r="B137" i="7"/>
  <c r="B136" i="7"/>
  <c r="B135" i="7"/>
  <c r="C134" i="7" s="1"/>
  <c r="B134" i="7"/>
  <c r="B133" i="7"/>
  <c r="C133" i="7" s="1"/>
  <c r="C132" i="7"/>
  <c r="B132" i="7"/>
  <c r="C131" i="7"/>
  <c r="B131" i="7"/>
  <c r="B130" i="7"/>
  <c r="C130" i="7" s="1"/>
  <c r="C129" i="7"/>
  <c r="B129" i="7"/>
  <c r="C128" i="7" s="1"/>
  <c r="B128" i="7"/>
  <c r="C127" i="7"/>
  <c r="B127" i="7"/>
  <c r="B126" i="7"/>
  <c r="C126" i="7" s="1"/>
  <c r="B125" i="7"/>
  <c r="B124" i="7"/>
  <c r="C124" i="7" s="1"/>
  <c r="B123" i="7"/>
  <c r="C123" i="7" s="1"/>
  <c r="C122" i="7"/>
  <c r="B122" i="7"/>
  <c r="B121" i="7"/>
  <c r="C121" i="7" s="1"/>
  <c r="C120" i="7"/>
  <c r="B120" i="7"/>
  <c r="C119" i="7"/>
  <c r="B119" i="7"/>
  <c r="B118" i="7"/>
  <c r="C118" i="7" s="1"/>
  <c r="B117" i="7"/>
  <c r="C117" i="7" s="1"/>
  <c r="C116" i="7"/>
  <c r="B116" i="7"/>
  <c r="C115" i="7"/>
  <c r="B115" i="7"/>
  <c r="B114" i="7"/>
  <c r="C114" i="7" s="1"/>
  <c r="C113" i="7"/>
  <c r="B113" i="7"/>
  <c r="B112" i="7"/>
  <c r="C112" i="7" s="1"/>
  <c r="C111" i="7"/>
  <c r="B111" i="7"/>
  <c r="C110" i="7"/>
  <c r="B110" i="7"/>
  <c r="B109" i="7"/>
  <c r="C109" i="7" s="1"/>
  <c r="C108" i="7"/>
  <c r="B108" i="7"/>
  <c r="C107" i="7"/>
  <c r="B107" i="7"/>
  <c r="B106" i="7"/>
  <c r="C106" i="7" s="1"/>
  <c r="B105" i="7"/>
  <c r="C104" i="7"/>
  <c r="B104" i="7"/>
  <c r="C103" i="7"/>
  <c r="B103" i="7"/>
  <c r="B102" i="7"/>
  <c r="C102" i="7" s="1"/>
  <c r="C101" i="7"/>
  <c r="B101" i="7"/>
  <c r="B100" i="7"/>
  <c r="C100" i="7" s="1"/>
  <c r="B99" i="7"/>
  <c r="C98" i="7"/>
  <c r="B98" i="7"/>
  <c r="B97" i="7"/>
  <c r="C97" i="7" s="1"/>
  <c r="C96" i="7"/>
  <c r="B96" i="7"/>
  <c r="C95" i="7"/>
  <c r="B95" i="7"/>
  <c r="B94" i="7"/>
  <c r="C94" i="7" s="1"/>
  <c r="B93" i="7"/>
  <c r="C92" i="7" s="1"/>
  <c r="B92" i="7"/>
  <c r="C91" i="7"/>
  <c r="B91" i="7"/>
  <c r="B90" i="7"/>
  <c r="C90" i="7" s="1"/>
  <c r="C89" i="7"/>
  <c r="B89" i="7"/>
  <c r="B88" i="7"/>
  <c r="C88" i="7" s="1"/>
  <c r="B87" i="7"/>
  <c r="C87" i="7" s="1"/>
  <c r="C86" i="7"/>
  <c r="B86" i="7"/>
  <c r="B85" i="7"/>
  <c r="C85" i="7" s="1"/>
  <c r="C84" i="7"/>
  <c r="B84" i="7"/>
  <c r="C83" i="7"/>
  <c r="B83" i="7"/>
  <c r="B82" i="7"/>
  <c r="C82" i="7" s="1"/>
  <c r="B81" i="7"/>
  <c r="C80" i="7"/>
  <c r="B80" i="7"/>
  <c r="C79" i="7"/>
  <c r="B79" i="7"/>
  <c r="B78" i="7"/>
  <c r="C78" i="7" s="1"/>
  <c r="C77" i="7"/>
  <c r="B77" i="7"/>
  <c r="B76" i="7"/>
  <c r="C76" i="7" s="1"/>
  <c r="B75" i="7"/>
  <c r="C75" i="7" s="1"/>
  <c r="C74" i="7"/>
  <c r="B74" i="7"/>
  <c r="B73" i="7"/>
  <c r="C73" i="7" s="1"/>
  <c r="C72" i="7"/>
  <c r="B72" i="7"/>
  <c r="C71" i="7"/>
  <c r="B71" i="7"/>
  <c r="B70" i="7"/>
  <c r="C70" i="7" s="1"/>
  <c r="C69" i="7"/>
  <c r="B69" i="7"/>
  <c r="C68" i="7"/>
  <c r="B68" i="7"/>
  <c r="C67" i="7"/>
  <c r="B67" i="7"/>
  <c r="B66" i="7"/>
  <c r="C66" i="7" s="1"/>
  <c r="B65" i="7"/>
  <c r="B64" i="7"/>
  <c r="B63" i="7"/>
  <c r="C62" i="7" s="1"/>
  <c r="B62" i="7"/>
  <c r="B61" i="7"/>
  <c r="C61" i="7" s="1"/>
  <c r="C60" i="7"/>
  <c r="B60" i="7"/>
  <c r="C59" i="7"/>
  <c r="B59" i="7"/>
  <c r="B58" i="7"/>
  <c r="C58" i="7" s="1"/>
  <c r="B57" i="7"/>
  <c r="C56" i="7" s="1"/>
  <c r="B56" i="7"/>
  <c r="C55" i="7"/>
  <c r="B55" i="7"/>
  <c r="B54" i="7"/>
  <c r="C54" i="7" s="1"/>
  <c r="C53" i="7"/>
  <c r="B53" i="7"/>
  <c r="B52" i="7"/>
  <c r="C52" i="7" s="1"/>
  <c r="B51" i="7"/>
  <c r="C51" i="7" s="1"/>
  <c r="C50" i="7"/>
  <c r="B50" i="7"/>
  <c r="B49" i="7"/>
  <c r="C49" i="7" s="1"/>
  <c r="C48" i="7"/>
  <c r="B48" i="7"/>
  <c r="C47" i="7"/>
  <c r="B47" i="7"/>
  <c r="B46" i="7"/>
  <c r="C46" i="7" s="1"/>
  <c r="C45" i="7"/>
  <c r="B45" i="7"/>
  <c r="C44" i="7"/>
  <c r="B44" i="7"/>
  <c r="C43" i="7"/>
  <c r="B43" i="7"/>
  <c r="B42" i="7"/>
  <c r="C42" i="7" s="1"/>
  <c r="C41" i="7"/>
  <c r="B41" i="7"/>
  <c r="B40" i="7"/>
  <c r="C40" i="7" s="1"/>
  <c r="B39" i="7"/>
  <c r="C39" i="7" s="1"/>
  <c r="B38" i="7"/>
  <c r="B37" i="7"/>
  <c r="C37" i="7" s="1"/>
  <c r="C36" i="7"/>
  <c r="B36" i="7"/>
  <c r="C35" i="7"/>
  <c r="B35" i="7"/>
  <c r="B34" i="7"/>
  <c r="C34" i="7" s="1"/>
  <c r="B33" i="7"/>
  <c r="C33" i="7" s="1"/>
  <c r="C32" i="7"/>
  <c r="B32" i="7"/>
  <c r="C31" i="7"/>
  <c r="B31" i="7"/>
  <c r="B30" i="7"/>
  <c r="C30" i="7" s="1"/>
  <c r="C29" i="7"/>
  <c r="B29" i="7"/>
  <c r="B28" i="7"/>
  <c r="C28" i="7" s="1"/>
  <c r="C27" i="7"/>
  <c r="B27" i="7"/>
  <c r="C26" i="7"/>
  <c r="B26" i="7"/>
  <c r="B25" i="7"/>
  <c r="C25" i="7" s="1"/>
  <c r="C24" i="7"/>
  <c r="B24" i="7"/>
  <c r="C23" i="7"/>
  <c r="B23" i="7"/>
  <c r="B22" i="7"/>
  <c r="B21" i="7"/>
  <c r="C20" i="7" s="1"/>
  <c r="B20" i="7"/>
  <c r="C19" i="7"/>
  <c r="B19" i="7"/>
  <c r="B18" i="7"/>
  <c r="C18" i="7" s="1"/>
  <c r="C17" i="7"/>
  <c r="B17" i="7"/>
  <c r="B16" i="7"/>
  <c r="C15" i="7" s="1"/>
  <c r="B15" i="7"/>
  <c r="C14" i="7"/>
  <c r="B14" i="7"/>
  <c r="B13" i="7"/>
  <c r="C13" i="7" s="1"/>
  <c r="C12" i="7"/>
  <c r="B12" i="7"/>
  <c r="C11" i="7"/>
  <c r="B11" i="7"/>
  <c r="B10" i="7"/>
  <c r="C10" i="7" s="1"/>
  <c r="B9" i="7"/>
  <c r="C9" i="7" s="1"/>
  <c r="C8" i="7"/>
  <c r="B8" i="7"/>
  <c r="C7" i="7"/>
  <c r="B7" i="7"/>
  <c r="B6" i="7"/>
  <c r="C6" i="7" s="1"/>
  <c r="C5" i="7"/>
  <c r="B5" i="7"/>
  <c r="B4" i="7"/>
  <c r="C4" i="7" s="1"/>
  <c r="B3" i="7"/>
  <c r="C3" i="7" s="1"/>
  <c r="C2" i="7"/>
  <c r="B2" i="7"/>
  <c r="B102" i="6"/>
  <c r="B101" i="6"/>
  <c r="B100" i="6"/>
  <c r="B99" i="6"/>
  <c r="C98" i="6"/>
  <c r="B98" i="6"/>
  <c r="B97" i="6"/>
  <c r="C96" i="6" s="1"/>
  <c r="B96" i="6"/>
  <c r="C95" i="6" s="1"/>
  <c r="B95" i="6"/>
  <c r="C94" i="6"/>
  <c r="B94" i="6"/>
  <c r="B93" i="6"/>
  <c r="C92" i="6" s="1"/>
  <c r="B92" i="6"/>
  <c r="B91" i="6"/>
  <c r="C90" i="6" s="1"/>
  <c r="B90" i="6"/>
  <c r="C89" i="6"/>
  <c r="B89" i="6"/>
  <c r="C88" i="6" s="1"/>
  <c r="B88" i="6"/>
  <c r="B87" i="6"/>
  <c r="C86" i="6" s="1"/>
  <c r="B86" i="6"/>
  <c r="B85" i="6"/>
  <c r="B84" i="6"/>
  <c r="C83" i="6" s="1"/>
  <c r="B83" i="6"/>
  <c r="C82" i="6"/>
  <c r="B82" i="6"/>
  <c r="B81" i="6"/>
  <c r="B80" i="6"/>
  <c r="C80" i="6" s="1"/>
  <c r="B79" i="6"/>
  <c r="C78" i="6" s="1"/>
  <c r="B78" i="6"/>
  <c r="C77" i="6"/>
  <c r="B77" i="6"/>
  <c r="B76" i="6"/>
  <c r="B75" i="6"/>
  <c r="B74" i="6"/>
  <c r="C74" i="6" s="1"/>
  <c r="B73" i="6"/>
  <c r="C72" i="6" s="1"/>
  <c r="B72" i="6"/>
  <c r="C71" i="6" s="1"/>
  <c r="B71" i="6"/>
  <c r="C70" i="6"/>
  <c r="B70" i="6"/>
  <c r="B69" i="6"/>
  <c r="B68" i="6"/>
  <c r="C68" i="6" s="1"/>
  <c r="B67" i="6"/>
  <c r="C66" i="6" s="1"/>
  <c r="B66" i="6"/>
  <c r="B65" i="6"/>
  <c r="B64" i="6"/>
  <c r="B63" i="6"/>
  <c r="C62" i="6" s="1"/>
  <c r="B62" i="6"/>
  <c r="C61" i="6"/>
  <c r="B61" i="6"/>
  <c r="C60" i="6" s="1"/>
  <c r="B60" i="6"/>
  <c r="C59" i="6" s="1"/>
  <c r="B59" i="6"/>
  <c r="B58" i="6"/>
  <c r="B57" i="6"/>
  <c r="B56" i="6"/>
  <c r="C56" i="6" s="1"/>
  <c r="C55" i="6"/>
  <c r="B55" i="6"/>
  <c r="C54" i="6" s="1"/>
  <c r="B54" i="6"/>
  <c r="B53" i="6"/>
  <c r="B52" i="6"/>
  <c r="B51" i="6"/>
  <c r="B50" i="6"/>
  <c r="C50" i="6" s="1"/>
  <c r="B49" i="6"/>
  <c r="C48" i="6" s="1"/>
  <c r="B48" i="6"/>
  <c r="C47" i="6" s="1"/>
  <c r="B47" i="6"/>
  <c r="C46" i="6"/>
  <c r="B46" i="6"/>
  <c r="B45" i="6"/>
  <c r="C44" i="6" s="1"/>
  <c r="B44" i="6"/>
  <c r="B43" i="6"/>
  <c r="C42" i="6" s="1"/>
  <c r="B42" i="6"/>
  <c r="B41" i="6"/>
  <c r="B40" i="6"/>
  <c r="B39" i="6"/>
  <c r="C38" i="6" s="1"/>
  <c r="B38" i="6"/>
  <c r="B37" i="6"/>
  <c r="B36" i="6"/>
  <c r="C35" i="6" s="1"/>
  <c r="B35" i="6"/>
  <c r="C34" i="6"/>
  <c r="B34" i="6"/>
  <c r="B33" i="6"/>
  <c r="C32" i="6" s="1"/>
  <c r="B32" i="6"/>
  <c r="B31" i="6"/>
  <c r="C30" i="6" s="1"/>
  <c r="B30" i="6"/>
  <c r="C29" i="6"/>
  <c r="B29" i="6"/>
  <c r="B28" i="6"/>
  <c r="B27" i="6"/>
  <c r="B26" i="6"/>
  <c r="C26" i="6" s="1"/>
  <c r="B25" i="6"/>
  <c r="C24" i="6" s="1"/>
  <c r="B24" i="6"/>
  <c r="C23" i="6" s="1"/>
  <c r="B23" i="6"/>
  <c r="C22" i="6"/>
  <c r="B22" i="6"/>
  <c r="B21" i="6"/>
  <c r="B20" i="6"/>
  <c r="C20" i="6" s="1"/>
  <c r="B19" i="6"/>
  <c r="C18" i="6" s="1"/>
  <c r="B18" i="6"/>
  <c r="B17" i="6"/>
  <c r="C16" i="6" s="1"/>
  <c r="B16" i="6"/>
  <c r="B15" i="6"/>
  <c r="C14" i="6"/>
  <c r="B14" i="6"/>
  <c r="C13" i="6"/>
  <c r="B13" i="6"/>
  <c r="C12" i="6" s="1"/>
  <c r="B12" i="6"/>
  <c r="C11" i="6" s="1"/>
  <c r="B11" i="6"/>
  <c r="B10" i="6"/>
  <c r="B9" i="6"/>
  <c r="B8" i="6"/>
  <c r="C8" i="6" s="1"/>
  <c r="C7" i="6"/>
  <c r="B7" i="6"/>
  <c r="C6" i="6" s="1"/>
  <c r="B6" i="6"/>
  <c r="B5" i="6"/>
  <c r="B4" i="6"/>
  <c r="B3" i="6"/>
  <c r="B2" i="6"/>
  <c r="C2" i="6" s="1"/>
  <c r="B202" i="5"/>
  <c r="C201" i="5" s="1"/>
  <c r="B201" i="5"/>
  <c r="C200" i="5"/>
  <c r="B200" i="5"/>
  <c r="B199" i="5"/>
  <c r="C199" i="5" s="1"/>
  <c r="C198" i="5"/>
  <c r="B198" i="5"/>
  <c r="B197" i="5"/>
  <c r="C197" i="5" s="1"/>
  <c r="B196" i="5"/>
  <c r="C196" i="5" s="1"/>
  <c r="C195" i="5"/>
  <c r="B195" i="5"/>
  <c r="B194" i="5"/>
  <c r="C194" i="5" s="1"/>
  <c r="B193" i="5"/>
  <c r="C192" i="5"/>
  <c r="B192" i="5"/>
  <c r="B191" i="5"/>
  <c r="C191" i="5" s="1"/>
  <c r="B190" i="5"/>
  <c r="C190" i="5" s="1"/>
  <c r="B189" i="5"/>
  <c r="C188" i="5"/>
  <c r="B188" i="5"/>
  <c r="B187" i="5"/>
  <c r="C187" i="5" s="1"/>
  <c r="B186" i="5"/>
  <c r="C185" i="5"/>
  <c r="B185" i="5"/>
  <c r="B184" i="5"/>
  <c r="C184" i="5" s="1"/>
  <c r="C183" i="5"/>
  <c r="B183" i="5"/>
  <c r="B182" i="5"/>
  <c r="C182" i="5" s="1"/>
  <c r="C181" i="5"/>
  <c r="B181" i="5"/>
  <c r="C180" i="5"/>
  <c r="B180" i="5"/>
  <c r="B179" i="5"/>
  <c r="C179" i="5" s="1"/>
  <c r="B178" i="5"/>
  <c r="C178" i="5" s="1"/>
  <c r="C177" i="5"/>
  <c r="B177" i="5"/>
  <c r="C176" i="5"/>
  <c r="B176" i="5"/>
  <c r="B175" i="5"/>
  <c r="C175" i="5" s="1"/>
  <c r="C174" i="5"/>
  <c r="B174" i="5"/>
  <c r="B173" i="5"/>
  <c r="C173" i="5" s="1"/>
  <c r="B172" i="5"/>
  <c r="C171" i="5"/>
  <c r="B171" i="5"/>
  <c r="B170" i="5"/>
  <c r="C170" i="5" s="1"/>
  <c r="C169" i="5"/>
  <c r="B169" i="5"/>
  <c r="C168" i="5"/>
  <c r="B168" i="5"/>
  <c r="B167" i="5"/>
  <c r="C167" i="5" s="1"/>
  <c r="C166" i="5"/>
  <c r="B166" i="5"/>
  <c r="C165" i="5"/>
  <c r="B165" i="5"/>
  <c r="C164" i="5"/>
  <c r="B164" i="5"/>
  <c r="B163" i="5"/>
  <c r="C163" i="5" s="1"/>
  <c r="C162" i="5"/>
  <c r="B162" i="5"/>
  <c r="B161" i="5"/>
  <c r="C161" i="5" s="1"/>
  <c r="B160" i="5"/>
  <c r="C159" i="5"/>
  <c r="B159" i="5"/>
  <c r="B158" i="5"/>
  <c r="C158" i="5" s="1"/>
  <c r="B157" i="5"/>
  <c r="C156" i="5"/>
  <c r="B156" i="5"/>
  <c r="B155" i="5"/>
  <c r="C155" i="5" s="1"/>
  <c r="B154" i="5"/>
  <c r="C154" i="5" s="1"/>
  <c r="C153" i="5"/>
  <c r="B153" i="5"/>
  <c r="C152" i="5"/>
  <c r="B152" i="5"/>
  <c r="B151" i="5"/>
  <c r="C151" i="5" s="1"/>
  <c r="C150" i="5"/>
  <c r="B150" i="5"/>
  <c r="B149" i="5"/>
  <c r="C149" i="5" s="1"/>
  <c r="B148" i="5"/>
  <c r="C147" i="5"/>
  <c r="B147" i="5"/>
  <c r="B146" i="5"/>
  <c r="C146" i="5" s="1"/>
  <c r="B145" i="5"/>
  <c r="C144" i="5"/>
  <c r="B144" i="5"/>
  <c r="B143" i="5"/>
  <c r="C143" i="5" s="1"/>
  <c r="C142" i="5"/>
  <c r="B142" i="5"/>
  <c r="C141" i="5"/>
  <c r="B141" i="5"/>
  <c r="C140" i="5"/>
  <c r="B140" i="5"/>
  <c r="C139" i="5"/>
  <c r="B139" i="5"/>
  <c r="C138" i="5"/>
  <c r="B138" i="5"/>
  <c r="B137" i="5"/>
  <c r="C137" i="5" s="1"/>
  <c r="B136" i="5"/>
  <c r="C135" i="5"/>
  <c r="B135" i="5"/>
  <c r="B134" i="5"/>
  <c r="C134" i="5" s="1"/>
  <c r="C133" i="5"/>
  <c r="B133" i="5"/>
  <c r="C132" i="5"/>
  <c r="B132" i="5"/>
  <c r="B131" i="5"/>
  <c r="C131" i="5" s="1"/>
  <c r="C130" i="5"/>
  <c r="B130" i="5"/>
  <c r="C129" i="5"/>
  <c r="B129" i="5"/>
  <c r="C128" i="5"/>
  <c r="B128" i="5"/>
  <c r="B127" i="5"/>
  <c r="C127" i="5" s="1"/>
  <c r="C126" i="5"/>
  <c r="B126" i="5"/>
  <c r="B125" i="5"/>
  <c r="C125" i="5" s="1"/>
  <c r="B124" i="5"/>
  <c r="C123" i="5"/>
  <c r="B123" i="5"/>
  <c r="B122" i="5"/>
  <c r="C122" i="5" s="1"/>
  <c r="C121" i="5"/>
  <c r="B121" i="5"/>
  <c r="C120" i="5"/>
  <c r="B120" i="5"/>
  <c r="B119" i="5"/>
  <c r="C119" i="5" s="1"/>
  <c r="C118" i="5"/>
  <c r="B118" i="5"/>
  <c r="C117" i="5" s="1"/>
  <c r="B117" i="5"/>
  <c r="C116" i="5"/>
  <c r="B116" i="5"/>
  <c r="B115" i="5"/>
  <c r="C115" i="5" s="1"/>
  <c r="C114" i="5"/>
  <c r="B114" i="5"/>
  <c r="B113" i="5"/>
  <c r="C113" i="5" s="1"/>
  <c r="B112" i="5"/>
  <c r="C111" i="5"/>
  <c r="B111" i="5"/>
  <c r="B110" i="5"/>
  <c r="C110" i="5" s="1"/>
  <c r="C109" i="5"/>
  <c r="B109" i="5"/>
  <c r="C108" i="5"/>
  <c r="B108" i="5"/>
  <c r="B107" i="5"/>
  <c r="C107" i="5" s="1"/>
  <c r="B106" i="5"/>
  <c r="C106" i="5" s="1"/>
  <c r="C105" i="5"/>
  <c r="B105" i="5"/>
  <c r="C104" i="5"/>
  <c r="B104" i="5"/>
  <c r="C103" i="5"/>
  <c r="B103" i="5"/>
  <c r="C102" i="5"/>
  <c r="B102" i="5"/>
  <c r="B101" i="5"/>
  <c r="C101" i="5" s="1"/>
  <c r="B100" i="5"/>
  <c r="C99" i="5"/>
  <c r="B99" i="5"/>
  <c r="B98" i="5"/>
  <c r="C98" i="5" s="1"/>
  <c r="B97" i="5"/>
  <c r="C96" i="5"/>
  <c r="B96" i="5"/>
  <c r="B95" i="5"/>
  <c r="C95" i="5" s="1"/>
  <c r="B94" i="5"/>
  <c r="C94" i="5" s="1"/>
  <c r="C93" i="5"/>
  <c r="B93" i="5"/>
  <c r="C92" i="5"/>
  <c r="B92" i="5"/>
  <c r="C91" i="5"/>
  <c r="B91" i="5"/>
  <c r="C90" i="5" s="1"/>
  <c r="B90" i="5"/>
  <c r="B89" i="5"/>
  <c r="C89" i="5" s="1"/>
  <c r="B88" i="5"/>
  <c r="C87" i="5"/>
  <c r="B87" i="5"/>
  <c r="C86" i="5"/>
  <c r="B86" i="5"/>
  <c r="C85" i="5"/>
  <c r="B85" i="5"/>
  <c r="C84" i="5"/>
  <c r="B84" i="5"/>
  <c r="B83" i="5"/>
  <c r="C83" i="5" s="1"/>
  <c r="B82" i="5"/>
  <c r="C82" i="5" s="1"/>
  <c r="C81" i="5"/>
  <c r="B81" i="5"/>
  <c r="C80" i="5"/>
  <c r="B80" i="5"/>
  <c r="B79" i="5"/>
  <c r="C79" i="5" s="1"/>
  <c r="C78" i="5"/>
  <c r="B78" i="5"/>
  <c r="B77" i="5"/>
  <c r="C77" i="5" s="1"/>
  <c r="B76" i="5"/>
  <c r="C75" i="5"/>
  <c r="B75" i="5"/>
  <c r="B74" i="5"/>
  <c r="C74" i="5" s="1"/>
  <c r="C73" i="5"/>
  <c r="B73" i="5"/>
  <c r="C72" i="5"/>
  <c r="B72" i="5"/>
  <c r="B71" i="5"/>
  <c r="C71" i="5" s="1"/>
  <c r="C70" i="5"/>
  <c r="B70" i="5"/>
  <c r="C69" i="5"/>
  <c r="B69" i="5"/>
  <c r="C68" i="5"/>
  <c r="B68" i="5"/>
  <c r="B67" i="5"/>
  <c r="C67" i="5" s="1"/>
  <c r="C66" i="5"/>
  <c r="B66" i="5"/>
  <c r="B65" i="5"/>
  <c r="C65" i="5" s="1"/>
  <c r="B64" i="5"/>
  <c r="C63" i="5"/>
  <c r="B63" i="5"/>
  <c r="B62" i="5"/>
  <c r="C62" i="5" s="1"/>
  <c r="B61" i="5"/>
  <c r="C60" i="5"/>
  <c r="B60" i="5"/>
  <c r="B59" i="5"/>
  <c r="C59" i="5" s="1"/>
  <c r="B58" i="5"/>
  <c r="C58" i="5" s="1"/>
  <c r="C57" i="5"/>
  <c r="B57" i="5"/>
  <c r="C56" i="5"/>
  <c r="B56" i="5"/>
  <c r="B55" i="5"/>
  <c r="C55" i="5" s="1"/>
  <c r="C54" i="5"/>
  <c r="B54" i="5"/>
  <c r="B53" i="5"/>
  <c r="C53" i="5" s="1"/>
  <c r="B52" i="5"/>
  <c r="C51" i="5"/>
  <c r="B51" i="5"/>
  <c r="B50" i="5"/>
  <c r="C50" i="5" s="1"/>
  <c r="B49" i="5"/>
  <c r="C48" i="5"/>
  <c r="B48" i="5"/>
  <c r="B47" i="5"/>
  <c r="C47" i="5" s="1"/>
  <c r="B46" i="5"/>
  <c r="C46" i="5" s="1"/>
  <c r="C45" i="5"/>
  <c r="B45" i="5"/>
  <c r="C44" i="5"/>
  <c r="B44" i="5"/>
  <c r="C43" i="5"/>
  <c r="B43" i="5"/>
  <c r="C42" i="5"/>
  <c r="B42" i="5"/>
  <c r="B41" i="5"/>
  <c r="C41" i="5" s="1"/>
  <c r="B40" i="5"/>
  <c r="C39" i="5"/>
  <c r="B39" i="5"/>
  <c r="B38" i="5"/>
  <c r="C38" i="5" s="1"/>
  <c r="C37" i="5"/>
  <c r="B37" i="5"/>
  <c r="C36" i="5"/>
  <c r="B36" i="5"/>
  <c r="B35" i="5"/>
  <c r="C35" i="5" s="1"/>
  <c r="C34" i="5"/>
  <c r="B34" i="5"/>
  <c r="C33" i="5"/>
  <c r="B33" i="5"/>
  <c r="C32" i="5"/>
  <c r="B32" i="5"/>
  <c r="B31" i="5"/>
  <c r="C31" i="5" s="1"/>
  <c r="C30" i="5"/>
  <c r="B30" i="5"/>
  <c r="B29" i="5"/>
  <c r="C29" i="5" s="1"/>
  <c r="B28" i="5"/>
  <c r="C27" i="5"/>
  <c r="B27" i="5"/>
  <c r="B26" i="5"/>
  <c r="C26" i="5" s="1"/>
  <c r="C25" i="5"/>
  <c r="B25" i="5"/>
  <c r="C24" i="5"/>
  <c r="B24" i="5"/>
  <c r="B23" i="5"/>
  <c r="C23" i="5" s="1"/>
  <c r="C22" i="5"/>
  <c r="B22" i="5"/>
  <c r="C21" i="5" s="1"/>
  <c r="B21" i="5"/>
  <c r="C20" i="5"/>
  <c r="B20" i="5"/>
  <c r="B19" i="5"/>
  <c r="C19" i="5" s="1"/>
  <c r="C18" i="5"/>
  <c r="B18" i="5"/>
  <c r="B17" i="5"/>
  <c r="C17" i="5" s="1"/>
  <c r="B16" i="5"/>
  <c r="C15" i="5"/>
  <c r="B15" i="5"/>
  <c r="B14" i="5"/>
  <c r="C14" i="5" s="1"/>
  <c r="C13" i="5"/>
  <c r="B13" i="5"/>
  <c r="C12" i="5"/>
  <c r="B12" i="5"/>
  <c r="B11" i="5"/>
  <c r="C11" i="5" s="1"/>
  <c r="B10" i="5"/>
  <c r="C10" i="5" s="1"/>
  <c r="C9" i="5"/>
  <c r="B9" i="5"/>
  <c r="C8" i="5"/>
  <c r="B8" i="5"/>
  <c r="C7" i="5"/>
  <c r="B7" i="5"/>
  <c r="C6" i="5"/>
  <c r="B6" i="5"/>
  <c r="B5" i="5"/>
  <c r="C5" i="5" s="1"/>
  <c r="B4" i="5"/>
  <c r="C3" i="5"/>
  <c r="B3" i="5"/>
  <c r="B2" i="5"/>
  <c r="C2" i="5" s="1"/>
  <c r="B302" i="4"/>
  <c r="B301" i="4"/>
  <c r="B300" i="4"/>
  <c r="C299" i="4" s="1"/>
  <c r="B299" i="4"/>
  <c r="B298" i="4"/>
  <c r="B297" i="4"/>
  <c r="C296" i="4" s="1"/>
  <c r="B296" i="4"/>
  <c r="B295" i="4"/>
  <c r="B294" i="4"/>
  <c r="B293" i="4"/>
  <c r="C293" i="4" s="1"/>
  <c r="B292" i="4"/>
  <c r="C291" i="4" s="1"/>
  <c r="B291" i="4"/>
  <c r="C290" i="4"/>
  <c r="B290" i="4"/>
  <c r="B289" i="4"/>
  <c r="B288" i="4"/>
  <c r="B287" i="4"/>
  <c r="C286" i="4" s="1"/>
  <c r="B286" i="4"/>
  <c r="C285" i="4" s="1"/>
  <c r="B285" i="4"/>
  <c r="B284" i="4"/>
  <c r="C283" i="4" s="1"/>
  <c r="B283" i="4"/>
  <c r="B282" i="4"/>
  <c r="B281" i="4"/>
  <c r="C281" i="4" s="1"/>
  <c r="B280" i="4"/>
  <c r="C280" i="4" s="1"/>
  <c r="B279" i="4"/>
  <c r="B278" i="4"/>
  <c r="B277" i="4"/>
  <c r="B276" i="4"/>
  <c r="C275" i="4"/>
  <c r="B275" i="4"/>
  <c r="C274" i="4"/>
  <c r="B274" i="4"/>
  <c r="C273" i="4" s="1"/>
  <c r="B273" i="4"/>
  <c r="B272" i="4"/>
  <c r="B271" i="4"/>
  <c r="B270" i="4"/>
  <c r="C269" i="4"/>
  <c r="B269" i="4"/>
  <c r="C268" i="4"/>
  <c r="B268" i="4"/>
  <c r="C267" i="4" s="1"/>
  <c r="B267" i="4"/>
  <c r="B266" i="4"/>
  <c r="B265" i="4"/>
  <c r="B264" i="4"/>
  <c r="B263" i="4"/>
  <c r="C263" i="4" s="1"/>
  <c r="B262" i="4"/>
  <c r="C261" i="4" s="1"/>
  <c r="B261" i="4"/>
  <c r="B260" i="4"/>
  <c r="C259" i="4"/>
  <c r="B259" i="4"/>
  <c r="B258" i="4"/>
  <c r="C257" i="4" s="1"/>
  <c r="B257" i="4"/>
  <c r="B256" i="4"/>
  <c r="B255" i="4"/>
  <c r="C254" i="4" s="1"/>
  <c r="B254" i="4"/>
  <c r="B253" i="4"/>
  <c r="B252" i="4"/>
  <c r="C251" i="4" s="1"/>
  <c r="B251" i="4"/>
  <c r="B250" i="4"/>
  <c r="B249" i="4"/>
  <c r="B248" i="4"/>
  <c r="C247" i="4"/>
  <c r="B247" i="4"/>
  <c r="B246" i="4"/>
  <c r="B245" i="4"/>
  <c r="C245" i="4" s="1"/>
  <c r="B244" i="4"/>
  <c r="C243" i="4" s="1"/>
  <c r="B243" i="4"/>
  <c r="C242" i="4"/>
  <c r="B242" i="4"/>
  <c r="B241" i="4"/>
  <c r="B240" i="4"/>
  <c r="B239" i="4"/>
  <c r="C239" i="4" s="1"/>
  <c r="B238" i="4"/>
  <c r="C237" i="4" s="1"/>
  <c r="B237" i="4"/>
  <c r="C236" i="4" s="1"/>
  <c r="B236" i="4"/>
  <c r="C235" i="4" s="1"/>
  <c r="B235" i="4"/>
  <c r="B234" i="4"/>
  <c r="B233" i="4"/>
  <c r="C233" i="4" s="1"/>
  <c r="B232" i="4"/>
  <c r="B231" i="4"/>
  <c r="C230" i="4"/>
  <c r="B230" i="4"/>
  <c r="B229" i="4"/>
  <c r="B228" i="4"/>
  <c r="C227" i="4"/>
  <c r="B227" i="4"/>
  <c r="C226" i="4"/>
  <c r="B226" i="4"/>
  <c r="C225" i="4" s="1"/>
  <c r="B225" i="4"/>
  <c r="B224" i="4"/>
  <c r="B223" i="4"/>
  <c r="B222" i="4"/>
  <c r="C221" i="4"/>
  <c r="B221" i="4"/>
  <c r="C220" i="4" s="1"/>
  <c r="B220" i="4"/>
  <c r="C219" i="4" s="1"/>
  <c r="B219" i="4"/>
  <c r="B218" i="4"/>
  <c r="B217" i="4"/>
  <c r="B216" i="4"/>
  <c r="C215" i="4"/>
  <c r="B215" i="4"/>
  <c r="B214" i="4"/>
  <c r="C213" i="4" s="1"/>
  <c r="B213" i="4"/>
  <c r="C212" i="4" s="1"/>
  <c r="B212" i="4"/>
  <c r="C211" i="4"/>
  <c r="B211" i="4"/>
  <c r="B210" i="4"/>
  <c r="C209" i="4" s="1"/>
  <c r="B209" i="4"/>
  <c r="B208" i="4"/>
  <c r="B207" i="4"/>
  <c r="B206" i="4"/>
  <c r="C206" i="4" s="1"/>
  <c r="B205" i="4"/>
  <c r="B204" i="4"/>
  <c r="C203" i="4" s="1"/>
  <c r="B203" i="4"/>
  <c r="B202" i="4"/>
  <c r="B201" i="4"/>
  <c r="B200" i="4"/>
  <c r="C199" i="4" s="1"/>
  <c r="B199" i="4"/>
  <c r="B198" i="4"/>
  <c r="B197" i="4"/>
  <c r="C197" i="4" s="1"/>
  <c r="B196" i="4"/>
  <c r="C195" i="4" s="1"/>
  <c r="B195" i="4"/>
  <c r="C194" i="4"/>
  <c r="B194" i="4"/>
  <c r="B193" i="4"/>
  <c r="B192" i="4"/>
  <c r="B191" i="4"/>
  <c r="C191" i="4" s="1"/>
  <c r="B190" i="4"/>
  <c r="C189" i="4" s="1"/>
  <c r="B189" i="4"/>
  <c r="B188" i="4"/>
  <c r="C187" i="4" s="1"/>
  <c r="B187" i="4"/>
  <c r="B186" i="4"/>
  <c r="C185" i="4"/>
  <c r="B185" i="4"/>
  <c r="C184" i="4" s="1"/>
  <c r="B184" i="4"/>
  <c r="C183" i="4" s="1"/>
  <c r="B183" i="4"/>
  <c r="B182" i="4"/>
  <c r="B181" i="4"/>
  <c r="B180" i="4"/>
  <c r="C179" i="4" s="1"/>
  <c r="B179" i="4"/>
  <c r="C178" i="4"/>
  <c r="B178" i="4"/>
  <c r="C177" i="4" s="1"/>
  <c r="B177" i="4"/>
  <c r="B176" i="4"/>
  <c r="B175" i="4"/>
  <c r="B174" i="4"/>
  <c r="B173" i="4"/>
  <c r="C173" i="4" s="1"/>
  <c r="C172" i="4"/>
  <c r="B172" i="4"/>
  <c r="C171" i="4" s="1"/>
  <c r="B171" i="4"/>
  <c r="B170" i="4"/>
  <c r="B169" i="4"/>
  <c r="B168" i="4"/>
  <c r="C167" i="4" s="1"/>
  <c r="B167" i="4"/>
  <c r="C166" i="4"/>
  <c r="B166" i="4"/>
  <c r="C165" i="4" s="1"/>
  <c r="B165" i="4"/>
  <c r="B164" i="4"/>
  <c r="C163" i="4"/>
  <c r="B163" i="4"/>
  <c r="B162" i="4"/>
  <c r="C161" i="4" s="1"/>
  <c r="B161" i="4"/>
  <c r="B160" i="4"/>
  <c r="B159" i="4"/>
  <c r="C158" i="4" s="1"/>
  <c r="B158" i="4"/>
  <c r="B157" i="4"/>
  <c r="B156" i="4"/>
  <c r="C155" i="4" s="1"/>
  <c r="B155" i="4"/>
  <c r="B154" i="4"/>
  <c r="B153" i="4"/>
  <c r="B152" i="4"/>
  <c r="B151" i="4"/>
  <c r="B150" i="4"/>
  <c r="C149" i="4"/>
  <c r="B149" i="4"/>
  <c r="C148" i="4" s="1"/>
  <c r="B148" i="4"/>
  <c r="C147" i="4" s="1"/>
  <c r="B147" i="4"/>
  <c r="C146" i="4"/>
  <c r="B146" i="4"/>
  <c r="B145" i="4"/>
  <c r="B144" i="4"/>
  <c r="B143" i="4"/>
  <c r="C143" i="4" s="1"/>
  <c r="B142" i="4"/>
  <c r="C141" i="4" s="1"/>
  <c r="B141" i="4"/>
  <c r="B140" i="4"/>
  <c r="C139" i="4"/>
  <c r="B139" i="4"/>
  <c r="B138" i="4"/>
  <c r="B137" i="4"/>
  <c r="C137" i="4" s="1"/>
  <c r="B136" i="4"/>
  <c r="C136" i="4" s="1"/>
  <c r="B135" i="4"/>
  <c r="B134" i="4"/>
  <c r="C133" i="4" s="1"/>
  <c r="B133" i="4"/>
  <c r="C132" i="4" s="1"/>
  <c r="B132" i="4"/>
  <c r="C131" i="4"/>
  <c r="B131" i="4"/>
  <c r="C130" i="4"/>
  <c r="B130" i="4"/>
  <c r="C129" i="4" s="1"/>
  <c r="B129" i="4"/>
  <c r="B128" i="4"/>
  <c r="B127" i="4"/>
  <c r="B126" i="4"/>
  <c r="C125" i="4"/>
  <c r="B125" i="4"/>
  <c r="B124" i="4"/>
  <c r="C123" i="4" s="1"/>
  <c r="B123" i="4"/>
  <c r="B122" i="4"/>
  <c r="B121" i="4"/>
  <c r="B120" i="4"/>
  <c r="B119" i="4"/>
  <c r="C119" i="4" s="1"/>
  <c r="B118" i="4"/>
  <c r="C117" i="4" s="1"/>
  <c r="B117" i="4"/>
  <c r="C116" i="4" s="1"/>
  <c r="B116" i="4"/>
  <c r="C115" i="4" s="1"/>
  <c r="B115" i="4"/>
  <c r="B114" i="4"/>
  <c r="C113" i="4" s="1"/>
  <c r="B113" i="4"/>
  <c r="B112" i="4"/>
  <c r="B111" i="4"/>
  <c r="C110" i="4"/>
  <c r="B110" i="4"/>
  <c r="B109" i="4"/>
  <c r="B108" i="4"/>
  <c r="C107" i="4"/>
  <c r="B107" i="4"/>
  <c r="B106" i="4"/>
  <c r="B105" i="4"/>
  <c r="B104" i="4"/>
  <c r="B103" i="4"/>
  <c r="C103" i="4" s="1"/>
  <c r="B102" i="4"/>
  <c r="B101" i="4"/>
  <c r="C101" i="4" s="1"/>
  <c r="B100" i="4"/>
  <c r="C99" i="4" s="1"/>
  <c r="B99" i="4"/>
  <c r="C98" i="4"/>
  <c r="B98" i="4"/>
  <c r="B97" i="4"/>
  <c r="B96" i="4"/>
  <c r="B95" i="4"/>
  <c r="C95" i="4" s="1"/>
  <c r="B94" i="4"/>
  <c r="C93" i="4" s="1"/>
  <c r="B93" i="4"/>
  <c r="B92" i="4"/>
  <c r="C91" i="4"/>
  <c r="B91" i="4"/>
  <c r="B90" i="4"/>
  <c r="B89" i="4"/>
  <c r="C89" i="4" s="1"/>
  <c r="B88" i="4"/>
  <c r="C88" i="4" s="1"/>
  <c r="B87" i="4"/>
  <c r="B86" i="4"/>
  <c r="C86" i="4" s="1"/>
  <c r="B85" i="4"/>
  <c r="B84" i="4"/>
  <c r="C83" i="4"/>
  <c r="B83" i="4"/>
  <c r="C82" i="4"/>
  <c r="B82" i="4"/>
  <c r="C81" i="4" s="1"/>
  <c r="B81" i="4"/>
  <c r="B80" i="4"/>
  <c r="B79" i="4"/>
  <c r="B78" i="4"/>
  <c r="C77" i="4"/>
  <c r="B77" i="4"/>
  <c r="B76" i="4"/>
  <c r="C75" i="4" s="1"/>
  <c r="B75" i="4"/>
  <c r="B74" i="4"/>
  <c r="B73" i="4"/>
  <c r="B72" i="4"/>
  <c r="B71" i="4"/>
  <c r="C71" i="4" s="1"/>
  <c r="B70" i="4"/>
  <c r="C69" i="4" s="1"/>
  <c r="B69" i="4"/>
  <c r="B68" i="4"/>
  <c r="C67" i="4"/>
  <c r="B67" i="4"/>
  <c r="B66" i="4"/>
  <c r="C65" i="4" s="1"/>
  <c r="B65" i="4"/>
  <c r="B64" i="4"/>
  <c r="B63" i="4"/>
  <c r="C62" i="4" s="1"/>
  <c r="B62" i="4"/>
  <c r="B61" i="4"/>
  <c r="B60" i="4"/>
  <c r="C59" i="4"/>
  <c r="B59" i="4"/>
  <c r="B58" i="4"/>
  <c r="B57" i="4"/>
  <c r="B56" i="4"/>
  <c r="C55" i="4" s="1"/>
  <c r="B55" i="4"/>
  <c r="B54" i="4"/>
  <c r="B53" i="4"/>
  <c r="C53" i="4" s="1"/>
  <c r="B52" i="4"/>
  <c r="C51" i="4" s="1"/>
  <c r="B51" i="4"/>
  <c r="C50" i="4"/>
  <c r="B50" i="4"/>
  <c r="B49" i="4"/>
  <c r="B48" i="4"/>
  <c r="C47" i="4"/>
  <c r="B47" i="4"/>
  <c r="C46" i="4"/>
  <c r="B46" i="4"/>
  <c r="C45" i="4" s="1"/>
  <c r="B45" i="4"/>
  <c r="B44" i="4"/>
  <c r="C43" i="4"/>
  <c r="B43" i="4"/>
  <c r="B42" i="4"/>
  <c r="B41" i="4"/>
  <c r="C41" i="4" s="1"/>
  <c r="C40" i="4"/>
  <c r="B40" i="4"/>
  <c r="B39" i="4"/>
  <c r="B38" i="4"/>
  <c r="C38" i="4" s="1"/>
  <c r="B37" i="4"/>
  <c r="B36" i="4"/>
  <c r="C35" i="4"/>
  <c r="B35" i="4"/>
  <c r="C34" i="4"/>
  <c r="B34" i="4"/>
  <c r="C33" i="4" s="1"/>
  <c r="B33" i="4"/>
  <c r="B32" i="4"/>
  <c r="C31" i="4"/>
  <c r="B31" i="4"/>
  <c r="B30" i="4"/>
  <c r="C29" i="4" s="1"/>
  <c r="B29" i="4"/>
  <c r="B28" i="4"/>
  <c r="C27" i="4" s="1"/>
  <c r="B27" i="4"/>
  <c r="B26" i="4"/>
  <c r="B25" i="4"/>
  <c r="B24" i="4"/>
  <c r="C23" i="4"/>
  <c r="B23" i="4"/>
  <c r="B22" i="4"/>
  <c r="C21" i="4" s="1"/>
  <c r="B21" i="4"/>
  <c r="B20" i="4"/>
  <c r="C19" i="4"/>
  <c r="B19" i="4"/>
  <c r="B18" i="4"/>
  <c r="C17" i="4" s="1"/>
  <c r="B17" i="4"/>
  <c r="B16" i="4"/>
  <c r="B15" i="4"/>
  <c r="C14" i="4"/>
  <c r="B14" i="4"/>
  <c r="C13" i="4" s="1"/>
  <c r="B13" i="4"/>
  <c r="B12" i="4"/>
  <c r="C11" i="4" s="1"/>
  <c r="B11" i="4"/>
  <c r="B10" i="4"/>
  <c r="B9" i="4"/>
  <c r="B8" i="4"/>
  <c r="C7" i="4" s="1"/>
  <c r="B7" i="4"/>
  <c r="B6" i="4"/>
  <c r="C5" i="4"/>
  <c r="B5" i="4"/>
  <c r="B4" i="4"/>
  <c r="C3" i="4" s="1"/>
  <c r="B3" i="4"/>
  <c r="C2" i="4"/>
  <c r="B2" i="4"/>
  <c r="B302" i="3"/>
  <c r="C301" i="3"/>
  <c r="B301" i="3"/>
  <c r="B300" i="3"/>
  <c r="C300" i="3" s="1"/>
  <c r="C299" i="3"/>
  <c r="B299" i="3"/>
  <c r="C298" i="3" s="1"/>
  <c r="B298" i="3"/>
  <c r="C297" i="3"/>
  <c r="B297" i="3"/>
  <c r="B296" i="3"/>
  <c r="C296" i="3" s="1"/>
  <c r="C295" i="3"/>
  <c r="B295" i="3"/>
  <c r="B294" i="3"/>
  <c r="C294" i="3" s="1"/>
  <c r="C293" i="3"/>
  <c r="B293" i="3"/>
  <c r="C292" i="3"/>
  <c r="B292" i="3"/>
  <c r="B291" i="3"/>
  <c r="C291" i="3" s="1"/>
  <c r="B290" i="3"/>
  <c r="C289" i="3"/>
  <c r="B289" i="3"/>
  <c r="B288" i="3"/>
  <c r="C288" i="3" s="1"/>
  <c r="B287" i="3"/>
  <c r="C287" i="3" s="1"/>
  <c r="C286" i="3"/>
  <c r="B286" i="3"/>
  <c r="C285" i="3"/>
  <c r="B285" i="3"/>
  <c r="B284" i="3"/>
  <c r="C284" i="3" s="1"/>
  <c r="C283" i="3"/>
  <c r="B283" i="3"/>
  <c r="C282" i="3"/>
  <c r="B282" i="3"/>
  <c r="B281" i="3"/>
  <c r="C281" i="3" s="1"/>
  <c r="C280" i="3"/>
  <c r="B280" i="3"/>
  <c r="B279" i="3"/>
  <c r="C279" i="3" s="1"/>
  <c r="B278" i="3"/>
  <c r="C277" i="3"/>
  <c r="B277" i="3"/>
  <c r="B276" i="3"/>
  <c r="C276" i="3" s="1"/>
  <c r="B275" i="3"/>
  <c r="C275" i="3" s="1"/>
  <c r="C274" i="3"/>
  <c r="B274" i="3"/>
  <c r="C273" i="3"/>
  <c r="B273" i="3"/>
  <c r="B272" i="3"/>
  <c r="C272" i="3" s="1"/>
  <c r="B271" i="3"/>
  <c r="B270" i="3"/>
  <c r="C270" i="3" s="1"/>
  <c r="C269" i="3"/>
  <c r="B269" i="3"/>
  <c r="C268" i="3"/>
  <c r="B268" i="3"/>
  <c r="B267" i="3"/>
  <c r="C267" i="3" s="1"/>
  <c r="B266" i="3"/>
  <c r="C265" i="3"/>
  <c r="B265" i="3"/>
  <c r="B264" i="3"/>
  <c r="C264" i="3" s="1"/>
  <c r="B263" i="3"/>
  <c r="C263" i="3" s="1"/>
  <c r="C262" i="3"/>
  <c r="B262" i="3"/>
  <c r="C261" i="3"/>
  <c r="B261" i="3"/>
  <c r="C260" i="3"/>
  <c r="B260" i="3"/>
  <c r="C259" i="3" s="1"/>
  <c r="B259" i="3"/>
  <c r="B258" i="3"/>
  <c r="C258" i="3" s="1"/>
  <c r="B257" i="3"/>
  <c r="C257" i="3" s="1"/>
  <c r="C256" i="3"/>
  <c r="B256" i="3"/>
  <c r="B255" i="3"/>
  <c r="C255" i="3" s="1"/>
  <c r="B254" i="3"/>
  <c r="C253" i="3"/>
  <c r="B253" i="3"/>
  <c r="B252" i="3"/>
  <c r="C252" i="3" s="1"/>
  <c r="B251" i="3"/>
  <c r="C251" i="3" s="1"/>
  <c r="C250" i="3"/>
  <c r="B250" i="3"/>
  <c r="C249" i="3"/>
  <c r="B249" i="3"/>
  <c r="B248" i="3"/>
  <c r="C248" i="3" s="1"/>
  <c r="C247" i="3"/>
  <c r="B247" i="3"/>
  <c r="B246" i="3"/>
  <c r="C246" i="3" s="1"/>
  <c r="B245" i="3"/>
  <c r="C244" i="3"/>
  <c r="B244" i="3"/>
  <c r="B243" i="3"/>
  <c r="C243" i="3" s="1"/>
  <c r="B242" i="3"/>
  <c r="C241" i="3"/>
  <c r="B241" i="3"/>
  <c r="C240" i="3"/>
  <c r="B240" i="3"/>
  <c r="B239" i="3"/>
  <c r="C239" i="3" s="1"/>
  <c r="C238" i="3"/>
  <c r="B238" i="3"/>
  <c r="C237" i="3"/>
  <c r="B237" i="3"/>
  <c r="B236" i="3"/>
  <c r="C236" i="3" s="1"/>
  <c r="C235" i="3"/>
  <c r="B235" i="3"/>
  <c r="C234" i="3"/>
  <c r="B234" i="3"/>
  <c r="C233" i="3" s="1"/>
  <c r="B233" i="3"/>
  <c r="C232" i="3" s="1"/>
  <c r="B232" i="3"/>
  <c r="B231" i="3"/>
  <c r="C231" i="3" s="1"/>
  <c r="B230" i="3"/>
  <c r="C229" i="3"/>
  <c r="B229" i="3"/>
  <c r="B228" i="3"/>
  <c r="C228" i="3" s="1"/>
  <c r="C227" i="3"/>
  <c r="B227" i="3"/>
  <c r="C226" i="3"/>
  <c r="B226" i="3"/>
  <c r="C225" i="3"/>
  <c r="B225" i="3"/>
  <c r="B224" i="3"/>
  <c r="C224" i="3" s="1"/>
  <c r="C223" i="3"/>
  <c r="B223" i="3"/>
  <c r="B222" i="3"/>
  <c r="C222" i="3" s="1"/>
  <c r="C221" i="3"/>
  <c r="B221" i="3"/>
  <c r="C220" i="3" s="1"/>
  <c r="B220" i="3"/>
  <c r="B219" i="3"/>
  <c r="C219" i="3" s="1"/>
  <c r="B218" i="3"/>
  <c r="C217" i="3"/>
  <c r="B217" i="3"/>
  <c r="C216" i="3"/>
  <c r="B216" i="3"/>
  <c r="B215" i="3"/>
  <c r="C215" i="3" s="1"/>
  <c r="C214" i="3"/>
  <c r="B214" i="3"/>
  <c r="C213" i="3"/>
  <c r="B213" i="3"/>
  <c r="B212" i="3"/>
  <c r="C212" i="3" s="1"/>
  <c r="C211" i="3"/>
  <c r="B211" i="3"/>
  <c r="B210" i="3"/>
  <c r="C210" i="3" s="1"/>
  <c r="B209" i="3"/>
  <c r="C209" i="3" s="1"/>
  <c r="C208" i="3"/>
  <c r="B208" i="3"/>
  <c r="B207" i="3"/>
  <c r="C207" i="3" s="1"/>
  <c r="B206" i="3"/>
  <c r="C205" i="3"/>
  <c r="B205" i="3"/>
  <c r="B204" i="3"/>
  <c r="C204" i="3" s="1"/>
  <c r="C203" i="3"/>
  <c r="B203" i="3"/>
  <c r="C202" i="3"/>
  <c r="B202" i="3"/>
  <c r="C201" i="3"/>
  <c r="B201" i="3"/>
  <c r="B200" i="3"/>
  <c r="C200" i="3" s="1"/>
  <c r="C199" i="3"/>
  <c r="B199" i="3"/>
  <c r="B198" i="3"/>
  <c r="C198" i="3" s="1"/>
  <c r="B197" i="3"/>
  <c r="C197" i="3" s="1"/>
  <c r="C196" i="3"/>
  <c r="B196" i="3"/>
  <c r="B195" i="3"/>
  <c r="C195" i="3" s="1"/>
  <c r="B194" i="3"/>
  <c r="C193" i="3"/>
  <c r="B193" i="3"/>
  <c r="B192" i="3"/>
  <c r="C192" i="3" s="1"/>
  <c r="B191" i="3"/>
  <c r="C191" i="3" s="1"/>
  <c r="C190" i="3"/>
  <c r="B190" i="3"/>
  <c r="C189" i="3"/>
  <c r="B189" i="3"/>
  <c r="C188" i="3"/>
  <c r="B188" i="3"/>
  <c r="C187" i="3"/>
  <c r="B187" i="3"/>
  <c r="B186" i="3"/>
  <c r="C186" i="3" s="1"/>
  <c r="B185" i="3"/>
  <c r="C185" i="3" s="1"/>
  <c r="C184" i="3"/>
  <c r="B184" i="3"/>
  <c r="B183" i="3"/>
  <c r="C183" i="3" s="1"/>
  <c r="B182" i="3"/>
  <c r="C181" i="3"/>
  <c r="B181" i="3"/>
  <c r="B180" i="3"/>
  <c r="C180" i="3" s="1"/>
  <c r="B179" i="3"/>
  <c r="C178" i="3"/>
  <c r="B178" i="3"/>
  <c r="C177" i="3"/>
  <c r="B177" i="3"/>
  <c r="B176" i="3"/>
  <c r="C176" i="3" s="1"/>
  <c r="C175" i="3"/>
  <c r="B175" i="3"/>
  <c r="B174" i="3"/>
  <c r="C174" i="3" s="1"/>
  <c r="B173" i="3"/>
  <c r="C173" i="3" s="1"/>
  <c r="C172" i="3"/>
  <c r="B172" i="3"/>
  <c r="B171" i="3"/>
  <c r="C171" i="3" s="1"/>
  <c r="B170" i="3"/>
  <c r="C169" i="3"/>
  <c r="B169" i="3"/>
  <c r="C168" i="3"/>
  <c r="B168" i="3"/>
  <c r="C167" i="3" s="1"/>
  <c r="B167" i="3"/>
  <c r="C166" i="3" s="1"/>
  <c r="B166" i="3"/>
  <c r="C165" i="3"/>
  <c r="B165" i="3"/>
  <c r="C164" i="3"/>
  <c r="B164" i="3"/>
  <c r="C163" i="3"/>
  <c r="B163" i="3"/>
  <c r="C162" i="3"/>
  <c r="B162" i="3"/>
  <c r="B161" i="3"/>
  <c r="C161" i="3" s="1"/>
  <c r="C160" i="3"/>
  <c r="B160" i="3"/>
  <c r="B159" i="3"/>
  <c r="C159" i="3" s="1"/>
  <c r="B158" i="3"/>
  <c r="C157" i="3"/>
  <c r="B157" i="3"/>
  <c r="B156" i="3"/>
  <c r="C156" i="3" s="1"/>
  <c r="C155" i="3"/>
  <c r="B155" i="3"/>
  <c r="C154" i="3" s="1"/>
  <c r="B154" i="3"/>
  <c r="C153" i="3"/>
  <c r="B153" i="3"/>
  <c r="B152" i="3"/>
  <c r="C152" i="3" s="1"/>
  <c r="C151" i="3"/>
  <c r="B151" i="3"/>
  <c r="B150" i="3"/>
  <c r="C150" i="3" s="1"/>
  <c r="C149" i="3"/>
  <c r="B149" i="3"/>
  <c r="C148" i="3"/>
  <c r="B148" i="3"/>
  <c r="B147" i="3"/>
  <c r="C147" i="3" s="1"/>
  <c r="B146" i="3"/>
  <c r="C145" i="3"/>
  <c r="B145" i="3"/>
  <c r="B144" i="3"/>
  <c r="C144" i="3" s="1"/>
  <c r="B143" i="3"/>
  <c r="C143" i="3" s="1"/>
  <c r="C142" i="3"/>
  <c r="B142" i="3"/>
  <c r="C141" i="3"/>
  <c r="B141" i="3"/>
  <c r="B140" i="3"/>
  <c r="C140" i="3" s="1"/>
  <c r="C139" i="3"/>
  <c r="B139" i="3"/>
  <c r="C138" i="3"/>
  <c r="B138" i="3"/>
  <c r="B137" i="3"/>
  <c r="C137" i="3" s="1"/>
  <c r="C136" i="3"/>
  <c r="B136" i="3"/>
  <c r="B135" i="3"/>
  <c r="C135" i="3" s="1"/>
  <c r="B134" i="3"/>
  <c r="C133" i="3"/>
  <c r="B133" i="3"/>
  <c r="B132" i="3"/>
  <c r="C132" i="3" s="1"/>
  <c r="B131" i="3"/>
  <c r="C131" i="3" s="1"/>
  <c r="C130" i="3"/>
  <c r="B130" i="3"/>
  <c r="C129" i="3"/>
  <c r="B129" i="3"/>
  <c r="B128" i="3"/>
  <c r="C128" i="3" s="1"/>
  <c r="B127" i="3"/>
  <c r="B126" i="3"/>
  <c r="C126" i="3" s="1"/>
  <c r="C125" i="3"/>
  <c r="B125" i="3"/>
  <c r="C124" i="3"/>
  <c r="B124" i="3"/>
  <c r="B123" i="3"/>
  <c r="C123" i="3" s="1"/>
  <c r="B122" i="3"/>
  <c r="C121" i="3"/>
  <c r="B121" i="3"/>
  <c r="B120" i="3"/>
  <c r="C120" i="3" s="1"/>
  <c r="B119" i="3"/>
  <c r="C119" i="3" s="1"/>
  <c r="C118" i="3"/>
  <c r="B118" i="3"/>
  <c r="C117" i="3"/>
  <c r="B117" i="3"/>
  <c r="C116" i="3"/>
  <c r="B116" i="3"/>
  <c r="C115" i="3" s="1"/>
  <c r="B115" i="3"/>
  <c r="B114" i="3"/>
  <c r="C114" i="3" s="1"/>
  <c r="B113" i="3"/>
  <c r="C113" i="3" s="1"/>
  <c r="C112" i="3"/>
  <c r="B112" i="3"/>
  <c r="B111" i="3"/>
  <c r="C111" i="3" s="1"/>
  <c r="B110" i="3"/>
  <c r="C109" i="3"/>
  <c r="B109" i="3"/>
  <c r="B108" i="3"/>
  <c r="C108" i="3" s="1"/>
  <c r="B107" i="3"/>
  <c r="C107" i="3" s="1"/>
  <c r="C106" i="3"/>
  <c r="B106" i="3"/>
  <c r="C105" i="3"/>
  <c r="B105" i="3"/>
  <c r="B104" i="3"/>
  <c r="C104" i="3" s="1"/>
  <c r="C103" i="3"/>
  <c r="B103" i="3"/>
  <c r="B102" i="3"/>
  <c r="C102" i="3" s="1"/>
  <c r="B101" i="3"/>
  <c r="C100" i="3"/>
  <c r="B100" i="3"/>
  <c r="B99" i="3"/>
  <c r="C99" i="3" s="1"/>
  <c r="B98" i="3"/>
  <c r="C97" i="3"/>
  <c r="B97" i="3"/>
  <c r="C96" i="3"/>
  <c r="B96" i="3"/>
  <c r="B95" i="3"/>
  <c r="C95" i="3" s="1"/>
  <c r="C94" i="3"/>
  <c r="B94" i="3"/>
  <c r="C93" i="3"/>
  <c r="B93" i="3"/>
  <c r="B92" i="3"/>
  <c r="C92" i="3" s="1"/>
  <c r="C91" i="3"/>
  <c r="B91" i="3"/>
  <c r="C90" i="3"/>
  <c r="B90" i="3"/>
  <c r="C89" i="3" s="1"/>
  <c r="B89" i="3"/>
  <c r="C88" i="3" s="1"/>
  <c r="B88" i="3"/>
  <c r="B87" i="3"/>
  <c r="C87" i="3" s="1"/>
  <c r="B86" i="3"/>
  <c r="C85" i="3"/>
  <c r="B85" i="3"/>
  <c r="B84" i="3"/>
  <c r="C84" i="3" s="1"/>
  <c r="C83" i="3"/>
  <c r="B83" i="3"/>
  <c r="C82" i="3"/>
  <c r="B82" i="3"/>
  <c r="C81" i="3"/>
  <c r="B81" i="3"/>
  <c r="B80" i="3"/>
  <c r="C80" i="3" s="1"/>
  <c r="C79" i="3"/>
  <c r="B79" i="3"/>
  <c r="B78" i="3"/>
  <c r="C78" i="3" s="1"/>
  <c r="C77" i="3"/>
  <c r="B77" i="3"/>
  <c r="C76" i="3" s="1"/>
  <c r="B76" i="3"/>
  <c r="B75" i="3"/>
  <c r="C75" i="3" s="1"/>
  <c r="B74" i="3"/>
  <c r="C73" i="3"/>
  <c r="B73" i="3"/>
  <c r="C72" i="3"/>
  <c r="B72" i="3"/>
  <c r="B71" i="3"/>
  <c r="C71" i="3" s="1"/>
  <c r="C70" i="3"/>
  <c r="B70" i="3"/>
  <c r="C69" i="3"/>
  <c r="B69" i="3"/>
  <c r="B68" i="3"/>
  <c r="C68" i="3" s="1"/>
  <c r="C67" i="3"/>
  <c r="B67" i="3"/>
  <c r="B66" i="3"/>
  <c r="C66" i="3" s="1"/>
  <c r="B65" i="3"/>
  <c r="C65" i="3" s="1"/>
  <c r="C64" i="3"/>
  <c r="B64" i="3"/>
  <c r="B63" i="3"/>
  <c r="C63" i="3" s="1"/>
  <c r="B62" i="3"/>
  <c r="C61" i="3"/>
  <c r="B61" i="3"/>
  <c r="B60" i="3"/>
  <c r="C60" i="3" s="1"/>
  <c r="C59" i="3"/>
  <c r="B59" i="3"/>
  <c r="C58" i="3"/>
  <c r="B58" i="3"/>
  <c r="C57" i="3"/>
  <c r="B57" i="3"/>
  <c r="B56" i="3"/>
  <c r="C56" i="3" s="1"/>
  <c r="C55" i="3"/>
  <c r="B55" i="3"/>
  <c r="B54" i="3"/>
  <c r="C54" i="3" s="1"/>
  <c r="B53" i="3"/>
  <c r="C53" i="3" s="1"/>
  <c r="C52" i="3"/>
  <c r="B52" i="3"/>
  <c r="B51" i="3"/>
  <c r="C51" i="3" s="1"/>
  <c r="B50" i="3"/>
  <c r="C49" i="3"/>
  <c r="B49" i="3"/>
  <c r="B48" i="3"/>
  <c r="C48" i="3" s="1"/>
  <c r="B47" i="3"/>
  <c r="C47" i="3" s="1"/>
  <c r="C46" i="3"/>
  <c r="B46" i="3"/>
  <c r="C45" i="3"/>
  <c r="B45" i="3"/>
  <c r="C44" i="3"/>
  <c r="B44" i="3"/>
  <c r="C43" i="3"/>
  <c r="B43" i="3"/>
  <c r="B42" i="3"/>
  <c r="C42" i="3" s="1"/>
  <c r="B41" i="3"/>
  <c r="C41" i="3" s="1"/>
  <c r="C40" i="3"/>
  <c r="B40" i="3"/>
  <c r="B39" i="3"/>
  <c r="C39" i="3" s="1"/>
  <c r="B38" i="3"/>
  <c r="C37" i="3"/>
  <c r="B37" i="3"/>
  <c r="B36" i="3"/>
  <c r="C36" i="3" s="1"/>
  <c r="B35" i="3"/>
  <c r="C35" i="3" s="1"/>
  <c r="C34" i="3"/>
  <c r="B34" i="3"/>
  <c r="C33" i="3"/>
  <c r="B33" i="3"/>
  <c r="B32" i="3"/>
  <c r="C32" i="3" s="1"/>
  <c r="C31" i="3"/>
  <c r="B31" i="3"/>
  <c r="B30" i="3"/>
  <c r="C30" i="3" s="1"/>
  <c r="B29" i="3"/>
  <c r="C29" i="3" s="1"/>
  <c r="C28" i="3"/>
  <c r="B28" i="3"/>
  <c r="B27" i="3"/>
  <c r="C27" i="3" s="1"/>
  <c r="B26" i="3"/>
  <c r="C25" i="3"/>
  <c r="B25" i="3"/>
  <c r="C24" i="3"/>
  <c r="B24" i="3"/>
  <c r="C23" i="3" s="1"/>
  <c r="B23" i="3"/>
  <c r="C22" i="3"/>
  <c r="B22" i="3"/>
  <c r="C21" i="3"/>
  <c r="B21" i="3"/>
  <c r="C20" i="3"/>
  <c r="B20" i="3"/>
  <c r="C19" i="3"/>
  <c r="B19" i="3"/>
  <c r="C18" i="3"/>
  <c r="B18" i="3"/>
  <c r="B17" i="3"/>
  <c r="C17" i="3" s="1"/>
  <c r="C16" i="3"/>
  <c r="B16" i="3"/>
  <c r="B15" i="3"/>
  <c r="C15" i="3" s="1"/>
  <c r="B14" i="3"/>
  <c r="C13" i="3"/>
  <c r="B13" i="3"/>
  <c r="B12" i="3"/>
  <c r="C12" i="3" s="1"/>
  <c r="C11" i="3"/>
  <c r="B11" i="3"/>
  <c r="C10" i="3" s="1"/>
  <c r="B10" i="3"/>
  <c r="C9" i="3"/>
  <c r="B9" i="3"/>
  <c r="B8" i="3"/>
  <c r="C8" i="3" s="1"/>
  <c r="C7" i="3"/>
  <c r="B7" i="3"/>
  <c r="B6" i="3"/>
  <c r="C6" i="3" s="1"/>
  <c r="C5" i="3"/>
  <c r="B5" i="3"/>
  <c r="C4" i="3"/>
  <c r="B4" i="3"/>
  <c r="B3" i="3"/>
  <c r="C3" i="3" s="1"/>
  <c r="B2" i="3"/>
  <c r="C150" i="4" l="1"/>
  <c r="C201" i="4"/>
  <c r="C202" i="4"/>
  <c r="C238" i="4"/>
  <c r="C292" i="4"/>
  <c r="C49" i="5"/>
  <c r="C145" i="5"/>
  <c r="C281" i="7"/>
  <c r="C68" i="4"/>
  <c r="C260" i="4"/>
  <c r="C47" i="9"/>
  <c r="C46" i="9"/>
  <c r="C81" i="7"/>
  <c r="C168" i="4"/>
  <c r="C169" i="4"/>
  <c r="C170" i="4"/>
  <c r="C189" i="5"/>
  <c r="C57" i="6"/>
  <c r="C58" i="6"/>
  <c r="C237" i="7"/>
  <c r="C70" i="4"/>
  <c r="C190" i="4"/>
  <c r="C20" i="4"/>
  <c r="C19" i="8"/>
  <c r="C20" i="8"/>
  <c r="C104" i="4"/>
  <c r="C156" i="4"/>
  <c r="C174" i="4"/>
  <c r="C175" i="4"/>
  <c r="C41" i="8"/>
  <c r="C277" i="4"/>
  <c r="C73" i="6"/>
  <c r="C120" i="4"/>
  <c r="C208" i="7"/>
  <c r="C207" i="7"/>
  <c r="C37" i="4"/>
  <c r="C22" i="4"/>
  <c r="C54" i="4"/>
  <c r="C72" i="4"/>
  <c r="C105" i="4"/>
  <c r="C106" i="4"/>
  <c r="C124" i="4"/>
  <c r="C157" i="4"/>
  <c r="C228" i="4"/>
  <c r="C264" i="4"/>
  <c r="C300" i="4"/>
  <c r="C25" i="6"/>
  <c r="C97" i="6"/>
  <c r="C22" i="10"/>
  <c r="C222" i="4"/>
  <c r="C223" i="4"/>
  <c r="C36" i="6"/>
  <c r="C37" i="6"/>
  <c r="C22" i="7"/>
  <c r="C21" i="7"/>
  <c r="C205" i="4"/>
  <c r="C38" i="7"/>
  <c r="C102" i="4"/>
  <c r="C262" i="4"/>
  <c r="C4" i="4"/>
  <c r="C39" i="4"/>
  <c r="C73" i="4"/>
  <c r="C74" i="4"/>
  <c r="C140" i="4"/>
  <c r="C229" i="4"/>
  <c r="C246" i="4"/>
  <c r="C265" i="4"/>
  <c r="C266" i="4"/>
  <c r="C301" i="4"/>
  <c r="C97" i="5"/>
  <c r="C193" i="5"/>
  <c r="C79" i="6"/>
  <c r="C57" i="7"/>
  <c r="C180" i="7"/>
  <c r="C288" i="7"/>
  <c r="C273" i="7"/>
  <c r="C83" i="8"/>
  <c r="C84" i="8"/>
  <c r="C33" i="9"/>
  <c r="C278" i="4"/>
  <c r="C64" i="6"/>
  <c r="C57" i="8"/>
  <c r="C40" i="6"/>
  <c r="C244" i="4"/>
  <c r="C6" i="4"/>
  <c r="C24" i="4"/>
  <c r="C57" i="4"/>
  <c r="C58" i="4"/>
  <c r="C76" i="4"/>
  <c r="C108" i="4"/>
  <c r="C126" i="4"/>
  <c r="C214" i="4"/>
  <c r="C231" i="4"/>
  <c r="C248" i="4"/>
  <c r="C25" i="4"/>
  <c r="C26" i="4"/>
  <c r="C92" i="4"/>
  <c r="C109" i="4"/>
  <c r="C127" i="4"/>
  <c r="C196" i="4"/>
  <c r="C232" i="4"/>
  <c r="C249" i="4"/>
  <c r="C250" i="4"/>
  <c r="C65" i="6"/>
  <c r="C81" i="6"/>
  <c r="C100" i="6"/>
  <c r="C101" i="6"/>
  <c r="C137" i="7"/>
  <c r="C197" i="7"/>
  <c r="C26" i="8"/>
  <c r="C12" i="10"/>
  <c r="C36" i="10"/>
  <c r="C60" i="10"/>
  <c r="C39" i="6"/>
  <c r="C260" i="7"/>
  <c r="C4" i="9"/>
  <c r="C99" i="9"/>
  <c r="C84" i="4"/>
  <c r="C153" i="4"/>
  <c r="C154" i="4"/>
  <c r="C276" i="4"/>
  <c r="C135" i="4"/>
  <c r="C297" i="4"/>
  <c r="C298" i="4"/>
  <c r="C56" i="4"/>
  <c r="C63" i="6"/>
  <c r="C136" i="7"/>
  <c r="C135" i="7"/>
  <c r="C60" i="4"/>
  <c r="C181" i="4"/>
  <c r="C270" i="4"/>
  <c r="C271" i="4"/>
  <c r="C217" i="4"/>
  <c r="C218" i="4"/>
  <c r="C84" i="6"/>
  <c r="C85" i="6"/>
  <c r="C93" i="7"/>
  <c r="C9" i="8"/>
  <c r="C89" i="8"/>
  <c r="C74" i="8"/>
  <c r="C70" i="10"/>
  <c r="C118" i="4"/>
  <c r="C151" i="4"/>
  <c r="C52" i="4"/>
  <c r="C279" i="4"/>
  <c r="C36" i="4"/>
  <c r="C87" i="4"/>
  <c r="C121" i="4"/>
  <c r="C122" i="4"/>
  <c r="C8" i="4"/>
  <c r="C94" i="4"/>
  <c r="C180" i="4"/>
  <c r="C287" i="4"/>
  <c r="C49" i="6"/>
  <c r="C198" i="4"/>
  <c r="C101" i="3"/>
  <c r="C127" i="3"/>
  <c r="C179" i="3"/>
  <c r="C245" i="3"/>
  <c r="C271" i="3"/>
  <c r="C61" i="5"/>
  <c r="C157" i="5"/>
  <c r="C15" i="6"/>
  <c r="C64" i="7"/>
  <c r="C63" i="7"/>
  <c r="C216" i="7"/>
  <c r="C231" i="7"/>
  <c r="C50" i="8"/>
  <c r="C46" i="10"/>
  <c r="C100" i="4"/>
  <c r="C35" i="8"/>
  <c r="C36" i="8"/>
  <c r="C294" i="4"/>
  <c r="C188" i="4"/>
  <c r="C3" i="6"/>
  <c r="C9" i="6"/>
  <c r="C10" i="6"/>
  <c r="C9" i="4"/>
  <c r="C10" i="4"/>
  <c r="C78" i="4"/>
  <c r="C111" i="4"/>
  <c r="C112" i="4"/>
  <c r="C252" i="4"/>
  <c r="C31" i="6"/>
  <c r="C67" i="6"/>
  <c r="C67" i="8"/>
  <c r="C68" i="8"/>
  <c r="C44" i="4"/>
  <c r="C61" i="4"/>
  <c r="C164" i="4"/>
  <c r="C182" i="4"/>
  <c r="C253" i="4"/>
  <c r="C51" i="6"/>
  <c r="C280" i="7"/>
  <c r="C279" i="7"/>
  <c r="C173" i="7"/>
  <c r="C134" i="4"/>
  <c r="C19" i="6"/>
  <c r="C15" i="4"/>
  <c r="C16" i="4"/>
  <c r="C204" i="4"/>
  <c r="C85" i="4"/>
  <c r="C295" i="4"/>
  <c r="C252" i="7"/>
  <c r="C152" i="4"/>
  <c r="C4" i="6"/>
  <c r="C5" i="6"/>
  <c r="C98" i="8"/>
  <c r="C41" i="6"/>
  <c r="C142" i="4"/>
  <c r="C159" i="4"/>
  <c r="C160" i="4"/>
  <c r="C284" i="4"/>
  <c r="C28" i="4"/>
  <c r="C216" i="4"/>
  <c r="C16" i="7"/>
  <c r="C79" i="4"/>
  <c r="C12" i="4"/>
  <c r="C30" i="4"/>
  <c r="C63" i="4"/>
  <c r="C64" i="4"/>
  <c r="C200" i="4"/>
  <c r="C186" i="5"/>
  <c r="C17" i="6"/>
  <c r="C33" i="6"/>
  <c r="C52" i="6"/>
  <c r="C53" i="6"/>
  <c r="C87" i="6"/>
  <c r="C65" i="7"/>
  <c r="C125" i="7"/>
  <c r="C40" i="9"/>
  <c r="C11" i="8"/>
  <c r="C59" i="8"/>
  <c r="C24" i="10"/>
  <c r="C48" i="10"/>
  <c r="C72" i="10"/>
  <c r="C29" i="8"/>
  <c r="C77" i="8"/>
  <c r="C99" i="6"/>
  <c r="C14" i="8"/>
  <c r="C62" i="8"/>
  <c r="C4" i="10"/>
  <c r="C28" i="10"/>
  <c r="C52" i="10"/>
  <c r="C76" i="10"/>
  <c r="C47" i="8"/>
  <c r="C95" i="8"/>
  <c r="C42" i="4"/>
  <c r="C90" i="4"/>
  <c r="C138" i="4"/>
  <c r="C186" i="4"/>
  <c r="C234" i="4"/>
  <c r="C282" i="4"/>
  <c r="C21" i="6"/>
  <c r="C69" i="6"/>
  <c r="C99" i="7"/>
  <c r="C171" i="7"/>
  <c r="C243" i="7"/>
  <c r="C48" i="8"/>
  <c r="C96" i="8"/>
  <c r="C10" i="9"/>
  <c r="C82" i="9"/>
  <c r="C7" i="10"/>
  <c r="C31" i="10"/>
  <c r="C55" i="10"/>
  <c r="C79" i="10"/>
  <c r="C207" i="4"/>
  <c r="C101" i="8"/>
  <c r="C100" i="8"/>
  <c r="C43" i="6"/>
  <c r="C5" i="8"/>
  <c r="C53" i="8"/>
  <c r="C15" i="10"/>
  <c r="C39" i="10"/>
  <c r="C63" i="10"/>
  <c r="C144" i="4"/>
  <c r="C272" i="4"/>
  <c r="C27" i="6"/>
  <c r="C75" i="6"/>
  <c r="C38" i="8"/>
  <c r="C86" i="8"/>
  <c r="C16" i="10"/>
  <c r="C40" i="10"/>
  <c r="C64" i="10"/>
  <c r="C255" i="4"/>
  <c r="C208" i="4"/>
  <c r="C256" i="4"/>
  <c r="C32" i="4"/>
  <c r="C48" i="4"/>
  <c r="C96" i="4"/>
  <c r="C128" i="4"/>
  <c r="C176" i="4"/>
  <c r="C192" i="4"/>
  <c r="C224" i="4"/>
  <c r="C240" i="4"/>
  <c r="C288" i="4"/>
  <c r="C2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49" i="4"/>
  <c r="C97" i="4"/>
  <c r="C145" i="4"/>
  <c r="C193" i="4"/>
  <c r="C241" i="4"/>
  <c r="C289" i="4"/>
  <c r="C4" i="5"/>
  <c r="C16" i="5"/>
  <c r="C28" i="5"/>
  <c r="C40" i="5"/>
  <c r="C52" i="5"/>
  <c r="C64" i="5"/>
  <c r="C76" i="5"/>
  <c r="C88" i="5"/>
  <c r="C100" i="5"/>
  <c r="C112" i="5"/>
  <c r="C124" i="5"/>
  <c r="C136" i="5"/>
  <c r="C148" i="5"/>
  <c r="C160" i="5"/>
  <c r="C172" i="5"/>
  <c r="C28" i="6"/>
  <c r="C76" i="6"/>
  <c r="C105" i="7"/>
  <c r="C177" i="7"/>
  <c r="C249" i="7"/>
  <c r="C16" i="9"/>
  <c r="C88" i="9"/>
  <c r="C80" i="4"/>
  <c r="C91" i="6"/>
  <c r="C18" i="4"/>
  <c r="C66" i="4"/>
  <c r="C114" i="4"/>
  <c r="C162" i="4"/>
  <c r="C210" i="4"/>
  <c r="C258" i="4"/>
  <c r="C45" i="6"/>
  <c r="C93" i="6"/>
  <c r="C24" i="8"/>
  <c r="C72" i="8"/>
  <c r="C19" i="10"/>
  <c r="C43" i="10"/>
  <c r="C67" i="10"/>
</calcChain>
</file>

<file path=xl/sharedStrings.xml><?xml version="1.0" encoding="utf-8"?>
<sst xmlns="http://schemas.openxmlformats.org/spreadsheetml/2006/main" count="91" uniqueCount="68">
  <si>
    <t>工作表</t>
  </si>
  <si>
    <t>内容</t>
  </si>
  <si>
    <t>默认参数/口径</t>
  </si>
  <si>
    <t>参数</t>
  </si>
  <si>
    <t>统一调整敌我等级、抗性、减伤、击破状态，以及双暴收益基线。</t>
  </si>
  <si>
    <t>敌人等级默认 80，基础抗性默认 20%。</t>
  </si>
  <si>
    <t>属性乘区</t>
  </si>
  <si>
    <t>展示攻击/生命/防御这类同区相加乘区的数值-收益曲线。</t>
  </si>
  <si>
    <t>每多 1% 属性加成的边际收益。</t>
  </si>
  <si>
    <t>增伤乘区</t>
  </si>
  <si>
    <t>展示增伤区曲线。</t>
  </si>
  <si>
    <t>每多 1% 增伤的边际收益。</t>
  </si>
  <si>
    <t>易伤乘区</t>
  </si>
  <si>
    <t>展示易伤区曲线。</t>
  </si>
  <si>
    <t>每多 1% 易伤的边际收益。</t>
  </si>
  <si>
    <t>暴击率乘区</t>
  </si>
  <si>
    <t>在给定总暴伤基线下，观察暴击率的收益。</t>
  </si>
  <si>
    <t>总暴伤可在参数页调整。</t>
  </si>
  <si>
    <t>暴击伤害乘区</t>
  </si>
  <si>
    <t>在给定总暴击率基线下，观察暴伤的收益。</t>
  </si>
  <si>
    <t>总暴击率可在参数页调整。</t>
  </si>
  <si>
    <t>防御乘区</t>
  </si>
  <si>
    <t>按默认怪物等级 80，观察减防/无视防御的收益。</t>
  </si>
  <si>
    <t>攻击者等级、怪物等级都可调。</t>
  </si>
  <si>
    <t>抗性乘区</t>
  </si>
  <si>
    <t>按可调的目标基础抗性，观察抗穿/减抗的收益。</t>
  </si>
  <si>
    <t>默认基础抗性 20%。</t>
  </si>
  <si>
    <t>减伤乘区</t>
  </si>
  <si>
    <t>按可调的敌方减伤与击破状态，观察减伤乘区。</t>
  </si>
  <si>
    <t>未击破时额外乘 0.9 韧性减伤。</t>
  </si>
  <si>
    <t>数值</t>
  </si>
  <si>
    <t>说明</t>
  </si>
  <si>
    <t>攻击者等级</t>
  </si>
  <si>
    <t>用于防御乘区，默认角色 80 级。</t>
  </si>
  <si>
    <t>敌方等级</t>
  </si>
  <si>
    <t>用于防御乘区，默认怪物 80 级。</t>
  </si>
  <si>
    <t>目标基础抗性(%)</t>
  </si>
  <si>
    <t>用于抗性乘区，可改成 0 / 20 / 40 等常见值。</t>
  </si>
  <si>
    <t>敌方额外减伤(%)</t>
  </si>
  <si>
    <t>用于减伤乘区。</t>
  </si>
  <si>
    <t>是否已击破弱点</t>
  </si>
  <si>
    <t>否</t>
  </si>
  <si>
    <t>填“是”则取消默认 0.9 韧性减伤。</t>
  </si>
  <si>
    <t>暴击率收益基线的总暴伤(%)</t>
  </si>
  <si>
    <t>暴伤收益基线的总暴击率(%)</t>
  </si>
  <si>
    <t>例如总暴击率 70%，则每 1% 暴伤带来的期望收益按此折算。</t>
  </si>
  <si>
    <t>公式来源</t>
  </si>
  <si>
    <t>Prydwen / Honkai: Star Rail Wiki Damage Formula</t>
  </si>
  <si>
    <t>仅用于收益曲线工作簿的通用乘区分析。</t>
  </si>
  <si>
    <t>属性加成(%)</t>
  </si>
  <si>
    <t>乘区系数</t>
  </si>
  <si>
    <t>每+1%边际收益</t>
  </si>
  <si>
    <t>攻击%、生命%、防御% 这类同区相加的属性增幅，乘区系数统一按 1 + x 计算，边际收益会随当前区间越高而递减。</t>
  </si>
  <si>
    <t>增伤(%)</t>
  </si>
  <si>
    <t>增伤区按 1 + 增伤% 计算。图里同时给出当前区间下，再额外多 1% 增伤时的边际收益。</t>
  </si>
  <si>
    <t>易伤(%)</t>
  </si>
  <si>
    <t>易伤区同样按 1 + 易伤% 计算，可直接对比它与增伤区在不同区间的收益差异。</t>
  </si>
  <si>
    <t>总暴击率(%)</t>
  </si>
  <si>
    <t>期望暴击乘区按 1 + 暴击率 × 总暴伤 计算。该表固定总暴伤基线，由参数页控制。</t>
  </si>
  <si>
    <t>总暴伤(%)</t>
  </si>
  <si>
    <t>期望暴击乘区按 1 + 总暴击率 × 暴伤 计算。该表固定总暴击率基线，由参数页控制。</t>
  </si>
  <si>
    <t>减防/无视防御(%)</t>
  </si>
  <si>
    <t>按 Star Rail 常用防御公式折算。默认怪物等级 80，减防/无视防御从 0% 到 100% 拉出收益曲线。</t>
  </si>
  <si>
    <t>抗穿/减抗(%)</t>
  </si>
  <si>
    <t>抗性乘区按 1 - 最终抗性 折算，最终抗性会被限制在 -100% 到 90%。目标基础抗性可在参数页调整。</t>
  </si>
  <si>
    <t>敌方减伤(%)</t>
  </si>
  <si>
    <t>减伤乘区按 (1 - 敌方减伤) 计算；若敌人尚未击破弱点，则额外乘 0.9 的韧性减伤。</t>
  </si>
  <si>
    <t>例如总暴伤 100%，则每 1% 暴击率带来的期望收益按此折算。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</si>
</sst>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3" x14ac:knownFonts="1">
    <font>
      <sz val="11"/>
      <color theme="1"/>
      <name val="宋体"/>
      <family val="2"/>
      <scheme val="minor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3395D"/>
      </patternFill>
    </fill>
    <fill>
      <patternFill patternType="solid">
        <fgColor rgb="FF406E8E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left" vertical="top" wrapText="1"/>
    </xf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属性乘区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属性乘区!$B$1</c:f>
              <c:strCache>
                <c:ptCount val="1"/>
                <c:pt idx="0">
                  <c:v>乘区系数</c:v>
                </c:pt>
              </c:strCache>
            </c:strRef>
          </c:tx>
          <c:spPr>
            <a:ln w="24000">
              <a:solidFill>
                <a:srgbClr val="E76F51"/>
              </a:solidFill>
              <a:prstDash val="solid"/>
            </a:ln>
          </c:spPr>
          <c:marker>
            <c:symbol val="none"/>
          </c:marker>
          <c:cat>
            <c:numRef>
              <c:f>属性乘区!$A$2:$A$302</c:f>
              <c:numCache>
                <c:formatCode>General</c:formatCode>
                <c:ptCount val="3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</c:numCache>
            </c:numRef>
          </c:cat>
          <c:val>
            <c:numRef>
              <c:f>属性乘区!$B$2:$B$302</c:f>
              <c:numCache>
                <c:formatCode>0.0000</c:formatCode>
                <c:ptCount val="301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1.1299999999999999</c:v>
                </c:pt>
                <c:pt idx="14">
                  <c:v>1.1400000000000001</c:v>
                </c:pt>
                <c:pt idx="15">
                  <c:v>1.1499999999999999</c:v>
                </c:pt>
                <c:pt idx="16">
                  <c:v>1.1599999999999999</c:v>
                </c:pt>
                <c:pt idx="17">
                  <c:v>1.17</c:v>
                </c:pt>
                <c:pt idx="18">
                  <c:v>1.18</c:v>
                </c:pt>
                <c:pt idx="19">
                  <c:v>1.19</c:v>
                </c:pt>
                <c:pt idx="20">
                  <c:v>1.2</c:v>
                </c:pt>
                <c:pt idx="21">
                  <c:v>1.21</c:v>
                </c:pt>
                <c:pt idx="22">
                  <c:v>1.22</c:v>
                </c:pt>
                <c:pt idx="23">
                  <c:v>1.23</c:v>
                </c:pt>
                <c:pt idx="24">
                  <c:v>1.24</c:v>
                </c:pt>
                <c:pt idx="25">
                  <c:v>1.25</c:v>
                </c:pt>
                <c:pt idx="26">
                  <c:v>1.26</c:v>
                </c:pt>
                <c:pt idx="27">
                  <c:v>1.27</c:v>
                </c:pt>
                <c:pt idx="28">
                  <c:v>1.28</c:v>
                </c:pt>
                <c:pt idx="29">
                  <c:v>1.29</c:v>
                </c:pt>
                <c:pt idx="30">
                  <c:v>1.3</c:v>
                </c:pt>
                <c:pt idx="31">
                  <c:v>1.31</c:v>
                </c:pt>
                <c:pt idx="32">
                  <c:v>1.32</c:v>
                </c:pt>
                <c:pt idx="33">
                  <c:v>1.33</c:v>
                </c:pt>
                <c:pt idx="34">
                  <c:v>1.34</c:v>
                </c:pt>
                <c:pt idx="35">
                  <c:v>1.35</c:v>
                </c:pt>
                <c:pt idx="36">
                  <c:v>1.3599999999999999</c:v>
                </c:pt>
                <c:pt idx="37">
                  <c:v>1.37</c:v>
                </c:pt>
                <c:pt idx="38">
                  <c:v>1.38</c:v>
                </c:pt>
                <c:pt idx="39">
                  <c:v>1.3900000000000001</c:v>
                </c:pt>
                <c:pt idx="40">
                  <c:v>1.4</c:v>
                </c:pt>
                <c:pt idx="41">
                  <c:v>1.41</c:v>
                </c:pt>
                <c:pt idx="42">
                  <c:v>1.42</c:v>
                </c:pt>
                <c:pt idx="43">
                  <c:v>1.43</c:v>
                </c:pt>
                <c:pt idx="44">
                  <c:v>1.44</c:v>
                </c:pt>
                <c:pt idx="45">
                  <c:v>1.45</c:v>
                </c:pt>
                <c:pt idx="46">
                  <c:v>1.46</c:v>
                </c:pt>
                <c:pt idx="47">
                  <c:v>1.47</c:v>
                </c:pt>
                <c:pt idx="48">
                  <c:v>1.48</c:v>
                </c:pt>
                <c:pt idx="49">
                  <c:v>1.49</c:v>
                </c:pt>
                <c:pt idx="50">
                  <c:v>1.5</c:v>
                </c:pt>
                <c:pt idx="51">
                  <c:v>1.51</c:v>
                </c:pt>
                <c:pt idx="52">
                  <c:v>1.52</c:v>
                </c:pt>
                <c:pt idx="53">
                  <c:v>1.53</c:v>
                </c:pt>
                <c:pt idx="54">
                  <c:v>1.54</c:v>
                </c:pt>
                <c:pt idx="55">
                  <c:v>1.55</c:v>
                </c:pt>
                <c:pt idx="56">
                  <c:v>1.56</c:v>
                </c:pt>
                <c:pt idx="57">
                  <c:v>1.5699999999999998</c:v>
                </c:pt>
                <c:pt idx="58">
                  <c:v>1.58</c:v>
                </c:pt>
                <c:pt idx="59">
                  <c:v>1.5899999999999999</c:v>
                </c:pt>
                <c:pt idx="60">
                  <c:v>1.6</c:v>
                </c:pt>
                <c:pt idx="61">
                  <c:v>1.6099999999999999</c:v>
                </c:pt>
                <c:pt idx="62">
                  <c:v>1.62</c:v>
                </c:pt>
                <c:pt idx="63">
                  <c:v>1.63</c:v>
                </c:pt>
                <c:pt idx="64">
                  <c:v>1.6400000000000001</c:v>
                </c:pt>
                <c:pt idx="65">
                  <c:v>1.65</c:v>
                </c:pt>
                <c:pt idx="66">
                  <c:v>1.6600000000000001</c:v>
                </c:pt>
                <c:pt idx="67">
                  <c:v>1.67</c:v>
                </c:pt>
                <c:pt idx="68">
                  <c:v>1.6800000000000002</c:v>
                </c:pt>
                <c:pt idx="69">
                  <c:v>1.69</c:v>
                </c:pt>
                <c:pt idx="70">
                  <c:v>1.7</c:v>
                </c:pt>
                <c:pt idx="71">
                  <c:v>1.71</c:v>
                </c:pt>
                <c:pt idx="72">
                  <c:v>1.72</c:v>
                </c:pt>
                <c:pt idx="73">
                  <c:v>1.73</c:v>
                </c:pt>
                <c:pt idx="74">
                  <c:v>1.74</c:v>
                </c:pt>
                <c:pt idx="75">
                  <c:v>1.75</c:v>
                </c:pt>
                <c:pt idx="76">
                  <c:v>1.76</c:v>
                </c:pt>
                <c:pt idx="77">
                  <c:v>1.77</c:v>
                </c:pt>
                <c:pt idx="78">
                  <c:v>1.78</c:v>
                </c:pt>
                <c:pt idx="79">
                  <c:v>1.79</c:v>
                </c:pt>
                <c:pt idx="80">
                  <c:v>1.8</c:v>
                </c:pt>
                <c:pt idx="81">
                  <c:v>1.81</c:v>
                </c:pt>
                <c:pt idx="82">
                  <c:v>1.8199999999999998</c:v>
                </c:pt>
                <c:pt idx="83">
                  <c:v>1.83</c:v>
                </c:pt>
                <c:pt idx="84">
                  <c:v>1.8399999999999999</c:v>
                </c:pt>
                <c:pt idx="85">
                  <c:v>1.85</c:v>
                </c:pt>
                <c:pt idx="86">
                  <c:v>1.8599999999999999</c:v>
                </c:pt>
                <c:pt idx="87">
                  <c:v>1.87</c:v>
                </c:pt>
                <c:pt idx="88">
                  <c:v>1.88</c:v>
                </c:pt>
                <c:pt idx="89">
                  <c:v>1.8900000000000001</c:v>
                </c:pt>
                <c:pt idx="90">
                  <c:v>1.9</c:v>
                </c:pt>
                <c:pt idx="91">
                  <c:v>1.9100000000000001</c:v>
                </c:pt>
                <c:pt idx="92">
                  <c:v>1.92</c:v>
                </c:pt>
                <c:pt idx="93">
                  <c:v>1.9300000000000002</c:v>
                </c:pt>
                <c:pt idx="94">
                  <c:v>1.94</c:v>
                </c:pt>
                <c:pt idx="95">
                  <c:v>1.95</c:v>
                </c:pt>
                <c:pt idx="96">
                  <c:v>1.96</c:v>
                </c:pt>
                <c:pt idx="97">
                  <c:v>1.97</c:v>
                </c:pt>
                <c:pt idx="98">
                  <c:v>1.98</c:v>
                </c:pt>
                <c:pt idx="99">
                  <c:v>1.99</c:v>
                </c:pt>
                <c:pt idx="100">
                  <c:v>2</c:v>
                </c:pt>
                <c:pt idx="101">
                  <c:v>2.0099999999999998</c:v>
                </c:pt>
                <c:pt idx="102">
                  <c:v>2.02</c:v>
                </c:pt>
                <c:pt idx="103">
                  <c:v>2.0300000000000002</c:v>
                </c:pt>
                <c:pt idx="104">
                  <c:v>2.04</c:v>
                </c:pt>
                <c:pt idx="105">
                  <c:v>2.0499999999999998</c:v>
                </c:pt>
                <c:pt idx="106">
                  <c:v>2.06</c:v>
                </c:pt>
                <c:pt idx="107">
                  <c:v>2.0700000000000003</c:v>
                </c:pt>
                <c:pt idx="108">
                  <c:v>2.08</c:v>
                </c:pt>
                <c:pt idx="109">
                  <c:v>2.09</c:v>
                </c:pt>
                <c:pt idx="110">
                  <c:v>2.1</c:v>
                </c:pt>
                <c:pt idx="111">
                  <c:v>2.1100000000000003</c:v>
                </c:pt>
                <c:pt idx="112">
                  <c:v>2.12</c:v>
                </c:pt>
                <c:pt idx="113">
                  <c:v>2.13</c:v>
                </c:pt>
                <c:pt idx="114">
                  <c:v>2.1399999999999997</c:v>
                </c:pt>
                <c:pt idx="115">
                  <c:v>2.15</c:v>
                </c:pt>
                <c:pt idx="116">
                  <c:v>2.16</c:v>
                </c:pt>
                <c:pt idx="117">
                  <c:v>2.17</c:v>
                </c:pt>
                <c:pt idx="118">
                  <c:v>2.1799999999999997</c:v>
                </c:pt>
                <c:pt idx="119">
                  <c:v>2.19</c:v>
                </c:pt>
                <c:pt idx="120">
                  <c:v>2.2000000000000002</c:v>
                </c:pt>
                <c:pt idx="121">
                  <c:v>2.21</c:v>
                </c:pt>
                <c:pt idx="122">
                  <c:v>2.2199999999999998</c:v>
                </c:pt>
                <c:pt idx="123">
                  <c:v>2.23</c:v>
                </c:pt>
                <c:pt idx="124">
                  <c:v>2.2400000000000002</c:v>
                </c:pt>
                <c:pt idx="125">
                  <c:v>2.25</c:v>
                </c:pt>
                <c:pt idx="126">
                  <c:v>2.2599999999999998</c:v>
                </c:pt>
                <c:pt idx="127">
                  <c:v>2.27</c:v>
                </c:pt>
                <c:pt idx="128">
                  <c:v>2.2800000000000002</c:v>
                </c:pt>
                <c:pt idx="129">
                  <c:v>2.29</c:v>
                </c:pt>
                <c:pt idx="130">
                  <c:v>2.2999999999999998</c:v>
                </c:pt>
                <c:pt idx="131">
                  <c:v>2.31</c:v>
                </c:pt>
                <c:pt idx="132">
                  <c:v>2.3200000000000003</c:v>
                </c:pt>
                <c:pt idx="133">
                  <c:v>2.33</c:v>
                </c:pt>
                <c:pt idx="134">
                  <c:v>2.34</c:v>
                </c:pt>
                <c:pt idx="135">
                  <c:v>2.35</c:v>
                </c:pt>
                <c:pt idx="136">
                  <c:v>2.3600000000000003</c:v>
                </c:pt>
                <c:pt idx="137">
                  <c:v>2.37</c:v>
                </c:pt>
                <c:pt idx="138">
                  <c:v>2.38</c:v>
                </c:pt>
                <c:pt idx="139">
                  <c:v>2.3899999999999997</c:v>
                </c:pt>
                <c:pt idx="140">
                  <c:v>2.4</c:v>
                </c:pt>
                <c:pt idx="141">
                  <c:v>2.41</c:v>
                </c:pt>
                <c:pt idx="142">
                  <c:v>2.42</c:v>
                </c:pt>
                <c:pt idx="143">
                  <c:v>2.4299999999999997</c:v>
                </c:pt>
                <c:pt idx="144">
                  <c:v>2.44</c:v>
                </c:pt>
                <c:pt idx="145">
                  <c:v>2.4500000000000002</c:v>
                </c:pt>
                <c:pt idx="146">
                  <c:v>2.46</c:v>
                </c:pt>
                <c:pt idx="147">
                  <c:v>2.4699999999999998</c:v>
                </c:pt>
                <c:pt idx="148">
                  <c:v>2.48</c:v>
                </c:pt>
                <c:pt idx="149">
                  <c:v>2.4900000000000002</c:v>
                </c:pt>
                <c:pt idx="150">
                  <c:v>2.5</c:v>
                </c:pt>
                <c:pt idx="151">
                  <c:v>2.5099999999999998</c:v>
                </c:pt>
                <c:pt idx="152">
                  <c:v>2.52</c:v>
                </c:pt>
                <c:pt idx="153">
                  <c:v>2.5300000000000002</c:v>
                </c:pt>
                <c:pt idx="154">
                  <c:v>2.54</c:v>
                </c:pt>
                <c:pt idx="155">
                  <c:v>2.5499999999999998</c:v>
                </c:pt>
                <c:pt idx="156">
                  <c:v>2.56</c:v>
                </c:pt>
                <c:pt idx="157">
                  <c:v>2.5700000000000003</c:v>
                </c:pt>
                <c:pt idx="158">
                  <c:v>2.58</c:v>
                </c:pt>
                <c:pt idx="159">
                  <c:v>2.59</c:v>
                </c:pt>
                <c:pt idx="160">
                  <c:v>2.6</c:v>
                </c:pt>
                <c:pt idx="161">
                  <c:v>2.6100000000000003</c:v>
                </c:pt>
                <c:pt idx="162">
                  <c:v>2.62</c:v>
                </c:pt>
                <c:pt idx="163">
                  <c:v>2.63</c:v>
                </c:pt>
                <c:pt idx="164">
                  <c:v>2.6399999999999997</c:v>
                </c:pt>
                <c:pt idx="165">
                  <c:v>2.65</c:v>
                </c:pt>
                <c:pt idx="166">
                  <c:v>2.66</c:v>
                </c:pt>
                <c:pt idx="167">
                  <c:v>2.67</c:v>
                </c:pt>
                <c:pt idx="168">
                  <c:v>2.6799999999999997</c:v>
                </c:pt>
                <c:pt idx="169">
                  <c:v>2.69</c:v>
                </c:pt>
                <c:pt idx="170">
                  <c:v>2.7</c:v>
                </c:pt>
                <c:pt idx="171">
                  <c:v>2.71</c:v>
                </c:pt>
                <c:pt idx="172">
                  <c:v>2.7199999999999998</c:v>
                </c:pt>
                <c:pt idx="173">
                  <c:v>2.73</c:v>
                </c:pt>
                <c:pt idx="174">
                  <c:v>2.74</c:v>
                </c:pt>
                <c:pt idx="175">
                  <c:v>2.75</c:v>
                </c:pt>
                <c:pt idx="176">
                  <c:v>2.76</c:v>
                </c:pt>
                <c:pt idx="177">
                  <c:v>2.77</c:v>
                </c:pt>
                <c:pt idx="178">
                  <c:v>2.7800000000000002</c:v>
                </c:pt>
                <c:pt idx="179">
                  <c:v>2.79</c:v>
                </c:pt>
                <c:pt idx="180">
                  <c:v>2.8</c:v>
                </c:pt>
                <c:pt idx="181">
                  <c:v>2.81</c:v>
                </c:pt>
                <c:pt idx="182">
                  <c:v>2.8200000000000003</c:v>
                </c:pt>
                <c:pt idx="183">
                  <c:v>2.83</c:v>
                </c:pt>
                <c:pt idx="184">
                  <c:v>2.84</c:v>
                </c:pt>
                <c:pt idx="185">
                  <c:v>2.85</c:v>
                </c:pt>
                <c:pt idx="186">
                  <c:v>2.8600000000000003</c:v>
                </c:pt>
                <c:pt idx="187">
                  <c:v>2.87</c:v>
                </c:pt>
                <c:pt idx="188">
                  <c:v>2.88</c:v>
                </c:pt>
                <c:pt idx="189">
                  <c:v>2.8899999999999997</c:v>
                </c:pt>
                <c:pt idx="190">
                  <c:v>2.9</c:v>
                </c:pt>
                <c:pt idx="191">
                  <c:v>2.91</c:v>
                </c:pt>
                <c:pt idx="192">
                  <c:v>2.92</c:v>
                </c:pt>
                <c:pt idx="193">
                  <c:v>2.9299999999999997</c:v>
                </c:pt>
                <c:pt idx="194">
                  <c:v>2.94</c:v>
                </c:pt>
                <c:pt idx="195">
                  <c:v>2.95</c:v>
                </c:pt>
                <c:pt idx="196">
                  <c:v>2.96</c:v>
                </c:pt>
                <c:pt idx="197">
                  <c:v>2.9699999999999998</c:v>
                </c:pt>
                <c:pt idx="198">
                  <c:v>2.98</c:v>
                </c:pt>
                <c:pt idx="199">
                  <c:v>2.99</c:v>
                </c:pt>
                <c:pt idx="200">
                  <c:v>3</c:v>
                </c:pt>
                <c:pt idx="201">
                  <c:v>3.01</c:v>
                </c:pt>
                <c:pt idx="202">
                  <c:v>3.02</c:v>
                </c:pt>
                <c:pt idx="203">
                  <c:v>3.03</c:v>
                </c:pt>
                <c:pt idx="204">
                  <c:v>3.04</c:v>
                </c:pt>
                <c:pt idx="205">
                  <c:v>3.05</c:v>
                </c:pt>
                <c:pt idx="206">
                  <c:v>3.06</c:v>
                </c:pt>
                <c:pt idx="207">
                  <c:v>3.07</c:v>
                </c:pt>
                <c:pt idx="208">
                  <c:v>3.08</c:v>
                </c:pt>
                <c:pt idx="209">
                  <c:v>3.09</c:v>
                </c:pt>
                <c:pt idx="210">
                  <c:v>3.1</c:v>
                </c:pt>
                <c:pt idx="211">
                  <c:v>3.11</c:v>
                </c:pt>
                <c:pt idx="212">
                  <c:v>3.12</c:v>
                </c:pt>
                <c:pt idx="213">
                  <c:v>3.13</c:v>
                </c:pt>
                <c:pt idx="214">
                  <c:v>3.14</c:v>
                </c:pt>
                <c:pt idx="215">
                  <c:v>3.15</c:v>
                </c:pt>
                <c:pt idx="216">
                  <c:v>3.16</c:v>
                </c:pt>
                <c:pt idx="217">
                  <c:v>3.17</c:v>
                </c:pt>
                <c:pt idx="218">
                  <c:v>3.18</c:v>
                </c:pt>
                <c:pt idx="219">
                  <c:v>3.19</c:v>
                </c:pt>
                <c:pt idx="220">
                  <c:v>3.2</c:v>
                </c:pt>
                <c:pt idx="221">
                  <c:v>3.21</c:v>
                </c:pt>
                <c:pt idx="222">
                  <c:v>3.22</c:v>
                </c:pt>
                <c:pt idx="223">
                  <c:v>3.23</c:v>
                </c:pt>
                <c:pt idx="224">
                  <c:v>3.24</c:v>
                </c:pt>
                <c:pt idx="225">
                  <c:v>3.25</c:v>
                </c:pt>
                <c:pt idx="226">
                  <c:v>3.26</c:v>
                </c:pt>
                <c:pt idx="227">
                  <c:v>3.27</c:v>
                </c:pt>
                <c:pt idx="228">
                  <c:v>3.28</c:v>
                </c:pt>
                <c:pt idx="229">
                  <c:v>3.29</c:v>
                </c:pt>
                <c:pt idx="230">
                  <c:v>3.3</c:v>
                </c:pt>
                <c:pt idx="231">
                  <c:v>3.31</c:v>
                </c:pt>
                <c:pt idx="232">
                  <c:v>3.32</c:v>
                </c:pt>
                <c:pt idx="233">
                  <c:v>3.33</c:v>
                </c:pt>
                <c:pt idx="234">
                  <c:v>3.34</c:v>
                </c:pt>
                <c:pt idx="235">
                  <c:v>3.35</c:v>
                </c:pt>
                <c:pt idx="236">
                  <c:v>3.36</c:v>
                </c:pt>
                <c:pt idx="237">
                  <c:v>3.37</c:v>
                </c:pt>
                <c:pt idx="238">
                  <c:v>3.38</c:v>
                </c:pt>
                <c:pt idx="239">
                  <c:v>3.39</c:v>
                </c:pt>
                <c:pt idx="240">
                  <c:v>3.4</c:v>
                </c:pt>
                <c:pt idx="241">
                  <c:v>3.41</c:v>
                </c:pt>
                <c:pt idx="242">
                  <c:v>3.42</c:v>
                </c:pt>
                <c:pt idx="243">
                  <c:v>3.43</c:v>
                </c:pt>
                <c:pt idx="244">
                  <c:v>3.44</c:v>
                </c:pt>
                <c:pt idx="245">
                  <c:v>3.45</c:v>
                </c:pt>
                <c:pt idx="246">
                  <c:v>3.46</c:v>
                </c:pt>
                <c:pt idx="247">
                  <c:v>3.47</c:v>
                </c:pt>
                <c:pt idx="248">
                  <c:v>3.48</c:v>
                </c:pt>
                <c:pt idx="249">
                  <c:v>3.49</c:v>
                </c:pt>
                <c:pt idx="250">
                  <c:v>3.5</c:v>
                </c:pt>
                <c:pt idx="251">
                  <c:v>3.51</c:v>
                </c:pt>
                <c:pt idx="252">
                  <c:v>3.52</c:v>
                </c:pt>
                <c:pt idx="253">
                  <c:v>3.53</c:v>
                </c:pt>
                <c:pt idx="254">
                  <c:v>3.54</c:v>
                </c:pt>
                <c:pt idx="255">
                  <c:v>3.55</c:v>
                </c:pt>
                <c:pt idx="256">
                  <c:v>3.56</c:v>
                </c:pt>
                <c:pt idx="257">
                  <c:v>3.57</c:v>
                </c:pt>
                <c:pt idx="258">
                  <c:v>3.58</c:v>
                </c:pt>
                <c:pt idx="259">
                  <c:v>3.59</c:v>
                </c:pt>
                <c:pt idx="260">
                  <c:v>3.6</c:v>
                </c:pt>
                <c:pt idx="261">
                  <c:v>3.61</c:v>
                </c:pt>
                <c:pt idx="262">
                  <c:v>3.62</c:v>
                </c:pt>
                <c:pt idx="263">
                  <c:v>3.63</c:v>
                </c:pt>
                <c:pt idx="264">
                  <c:v>3.64</c:v>
                </c:pt>
                <c:pt idx="265">
                  <c:v>3.65</c:v>
                </c:pt>
                <c:pt idx="266">
                  <c:v>3.66</c:v>
                </c:pt>
                <c:pt idx="267">
                  <c:v>3.67</c:v>
                </c:pt>
                <c:pt idx="268">
                  <c:v>3.68</c:v>
                </c:pt>
                <c:pt idx="269">
                  <c:v>3.69</c:v>
                </c:pt>
                <c:pt idx="270">
                  <c:v>3.7</c:v>
                </c:pt>
                <c:pt idx="271">
                  <c:v>3.71</c:v>
                </c:pt>
                <c:pt idx="272">
                  <c:v>3.72</c:v>
                </c:pt>
                <c:pt idx="273">
                  <c:v>3.73</c:v>
                </c:pt>
                <c:pt idx="274">
                  <c:v>3.74</c:v>
                </c:pt>
                <c:pt idx="275">
                  <c:v>3.75</c:v>
                </c:pt>
                <c:pt idx="276">
                  <c:v>3.76</c:v>
                </c:pt>
                <c:pt idx="277">
                  <c:v>3.77</c:v>
                </c:pt>
                <c:pt idx="278">
                  <c:v>3.78</c:v>
                </c:pt>
                <c:pt idx="279">
                  <c:v>3.79</c:v>
                </c:pt>
                <c:pt idx="280">
                  <c:v>3.8</c:v>
                </c:pt>
                <c:pt idx="281">
                  <c:v>3.81</c:v>
                </c:pt>
                <c:pt idx="282">
                  <c:v>3.82</c:v>
                </c:pt>
                <c:pt idx="283">
                  <c:v>3.83</c:v>
                </c:pt>
                <c:pt idx="284">
                  <c:v>3.84</c:v>
                </c:pt>
                <c:pt idx="285">
                  <c:v>3.85</c:v>
                </c:pt>
                <c:pt idx="286">
                  <c:v>3.86</c:v>
                </c:pt>
                <c:pt idx="287">
                  <c:v>3.87</c:v>
                </c:pt>
                <c:pt idx="288">
                  <c:v>3.88</c:v>
                </c:pt>
                <c:pt idx="289">
                  <c:v>3.89</c:v>
                </c:pt>
                <c:pt idx="290">
                  <c:v>3.9</c:v>
                </c:pt>
                <c:pt idx="291">
                  <c:v>3.91</c:v>
                </c:pt>
                <c:pt idx="292">
                  <c:v>3.92</c:v>
                </c:pt>
                <c:pt idx="293">
                  <c:v>3.93</c:v>
                </c:pt>
                <c:pt idx="294">
                  <c:v>3.94</c:v>
                </c:pt>
                <c:pt idx="295">
                  <c:v>3.95</c:v>
                </c:pt>
                <c:pt idx="296">
                  <c:v>3.96</c:v>
                </c:pt>
                <c:pt idx="297">
                  <c:v>3.97</c:v>
                </c:pt>
                <c:pt idx="298">
                  <c:v>3.98</c:v>
                </c:pt>
                <c:pt idx="299">
                  <c:v>3.99</c:v>
                </c:pt>
                <c:pt idx="300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013-4B15-88A5-21FD27DA2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属性乘区!$C$1</c:f>
              <c:strCache>
                <c:ptCount val="1"/>
                <c:pt idx="0">
                  <c:v>每+1%边际收益</c:v>
                </c:pt>
              </c:strCache>
            </c:strRef>
          </c:tx>
          <c:spPr>
            <a:ln w="22000">
              <a:solidFill>
                <a:srgbClr val="2A9D8F"/>
              </a:solidFill>
              <a:prstDash val="solid"/>
            </a:ln>
          </c:spPr>
          <c:marker>
            <c:symbol val="none"/>
          </c:marker>
          <c:cat>
            <c:numRef>
              <c:f>属性乘区!$A$2:$A$302</c:f>
              <c:numCache>
                <c:formatCode>General</c:formatCode>
                <c:ptCount val="3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</c:numCache>
            </c:numRef>
          </c:cat>
          <c:val>
            <c:numRef>
              <c:f>属性乘区!$C$2:$C$302</c:f>
              <c:numCache>
                <c:formatCode>0.00%</c:formatCode>
                <c:ptCount val="301"/>
                <c:pt idx="0">
                  <c:v>1.0000000000000009E-2</c:v>
                </c:pt>
                <c:pt idx="1">
                  <c:v>9.9009900990099098E-3</c:v>
                </c:pt>
                <c:pt idx="2">
                  <c:v>9.8039215686274161E-3</c:v>
                </c:pt>
                <c:pt idx="3">
                  <c:v>9.7087378640776656E-3</c:v>
                </c:pt>
                <c:pt idx="4">
                  <c:v>9.6153846153845812E-3</c:v>
                </c:pt>
                <c:pt idx="5">
                  <c:v>9.52380952380949E-3</c:v>
                </c:pt>
                <c:pt idx="6">
                  <c:v>9.4339622641510523E-3</c:v>
                </c:pt>
                <c:pt idx="7">
                  <c:v>9.3457943925234765E-3</c:v>
                </c:pt>
                <c:pt idx="8">
                  <c:v>9.2592592592593004E-3</c:v>
                </c:pt>
                <c:pt idx="9">
                  <c:v>9.1743119266054496E-3</c:v>
                </c:pt>
                <c:pt idx="10">
                  <c:v>9.0909090909090384E-3</c:v>
                </c:pt>
                <c:pt idx="11">
                  <c:v>9.009009009008917E-3</c:v>
                </c:pt>
                <c:pt idx="12">
                  <c:v>8.9285714285711748E-3</c:v>
                </c:pt>
                <c:pt idx="13">
                  <c:v>8.8495575221241296E-3</c:v>
                </c:pt>
                <c:pt idx="14">
                  <c:v>8.7719298245612087E-3</c:v>
                </c:pt>
                <c:pt idx="15">
                  <c:v>8.6956521739129933E-3</c:v>
                </c:pt>
                <c:pt idx="16">
                  <c:v>8.6206896551723755E-3</c:v>
                </c:pt>
                <c:pt idx="17">
                  <c:v>8.5470085470085166E-3</c:v>
                </c:pt>
                <c:pt idx="18">
                  <c:v>8.4745762711864181E-3</c:v>
                </c:pt>
                <c:pt idx="19">
                  <c:v>8.4033613445377853E-3</c:v>
                </c:pt>
                <c:pt idx="20">
                  <c:v>8.3333333333333037E-3</c:v>
                </c:pt>
                <c:pt idx="21">
                  <c:v>8.2644628099173278E-3</c:v>
                </c:pt>
                <c:pt idx="22">
                  <c:v>8.1967213114753079E-3</c:v>
                </c:pt>
                <c:pt idx="23">
                  <c:v>8.1300813008129413E-3</c:v>
                </c:pt>
                <c:pt idx="24">
                  <c:v>8.0645161290322509E-3</c:v>
                </c:pt>
                <c:pt idx="25">
                  <c:v>8.0000000000000071E-3</c:v>
                </c:pt>
                <c:pt idx="26">
                  <c:v>7.9365079365079083E-3</c:v>
                </c:pt>
                <c:pt idx="27">
                  <c:v>7.8740157480314821E-3</c:v>
                </c:pt>
                <c:pt idx="28">
                  <c:v>7.8125E-3</c:v>
                </c:pt>
                <c:pt idx="29">
                  <c:v>7.7519379844961378E-3</c:v>
                </c:pt>
                <c:pt idx="30">
                  <c:v>7.692307692307665E-3</c:v>
                </c:pt>
                <c:pt idx="31">
                  <c:v>7.6335877862594437E-3</c:v>
                </c:pt>
                <c:pt idx="32">
                  <c:v>7.575757575757569E-3</c:v>
                </c:pt>
                <c:pt idx="33">
                  <c:v>7.5187969924812581E-3</c:v>
                </c:pt>
                <c:pt idx="34">
                  <c:v>7.4626865671640896E-3</c:v>
                </c:pt>
                <c:pt idx="35">
                  <c:v>7.4074074074073071E-3</c:v>
                </c:pt>
                <c:pt idx="36">
                  <c:v>7.3529411764707842E-3</c:v>
                </c:pt>
                <c:pt idx="37">
                  <c:v>7.2992700729925808E-3</c:v>
                </c:pt>
                <c:pt idx="38">
                  <c:v>7.2463768115944571E-3</c:v>
                </c:pt>
                <c:pt idx="39">
                  <c:v>7.194244604316502E-3</c:v>
                </c:pt>
                <c:pt idx="40">
                  <c:v>7.1428571428571175E-3</c:v>
                </c:pt>
                <c:pt idx="41">
                  <c:v>7.0921985815601829E-3</c:v>
                </c:pt>
                <c:pt idx="42">
                  <c:v>7.0422535211267512E-3</c:v>
                </c:pt>
                <c:pt idx="43">
                  <c:v>6.9930069930070893E-3</c:v>
                </c:pt>
                <c:pt idx="44">
                  <c:v>6.9444444444444198E-3</c:v>
                </c:pt>
                <c:pt idx="45">
                  <c:v>6.8965517241379448E-3</c:v>
                </c:pt>
                <c:pt idx="46">
                  <c:v>6.8493150684931781E-3</c:v>
                </c:pt>
                <c:pt idx="47">
                  <c:v>6.8027210884353817E-3</c:v>
                </c:pt>
                <c:pt idx="48">
                  <c:v>6.7567567567567988E-3</c:v>
                </c:pt>
                <c:pt idx="49">
                  <c:v>6.7114093959732557E-3</c:v>
                </c:pt>
                <c:pt idx="50">
                  <c:v>6.6666666666665986E-3</c:v>
                </c:pt>
                <c:pt idx="51">
                  <c:v>6.6225165562914245E-3</c:v>
                </c:pt>
                <c:pt idx="52">
                  <c:v>6.5789473684210176E-3</c:v>
                </c:pt>
                <c:pt idx="53">
                  <c:v>6.5359477124182774E-3</c:v>
                </c:pt>
                <c:pt idx="54">
                  <c:v>6.4935064935065512E-3</c:v>
                </c:pt>
                <c:pt idx="55">
                  <c:v>6.4516129032257119E-3</c:v>
                </c:pt>
                <c:pt idx="56">
                  <c:v>6.4102564102561654E-3</c:v>
                </c:pt>
                <c:pt idx="57">
                  <c:v>6.3694267515925773E-3</c:v>
                </c:pt>
                <c:pt idx="58">
                  <c:v>6.3291139240504446E-3</c:v>
                </c:pt>
                <c:pt idx="59">
                  <c:v>6.2893081761008496E-3</c:v>
                </c:pt>
                <c:pt idx="60">
                  <c:v>6.2499999999998668E-3</c:v>
                </c:pt>
                <c:pt idx="61">
                  <c:v>6.2111801242237252E-3</c:v>
                </c:pt>
                <c:pt idx="62">
                  <c:v>6.1728395061726449E-3</c:v>
                </c:pt>
                <c:pt idx="63">
                  <c:v>6.1349693251535609E-3</c:v>
                </c:pt>
                <c:pt idx="64">
                  <c:v>6.0975609756095395E-3</c:v>
                </c:pt>
                <c:pt idx="65">
                  <c:v>6.0606060606060996E-3</c:v>
                </c:pt>
                <c:pt idx="66">
                  <c:v>6.0240963855420215E-3</c:v>
                </c:pt>
                <c:pt idx="67">
                  <c:v>5.9880239520959666E-3</c:v>
                </c:pt>
                <c:pt idx="68">
                  <c:v>5.9523809523809312E-3</c:v>
                </c:pt>
                <c:pt idx="69">
                  <c:v>5.9171597633136397E-3</c:v>
                </c:pt>
                <c:pt idx="70">
                  <c:v>5.8823529411764497E-3</c:v>
                </c:pt>
                <c:pt idx="71">
                  <c:v>5.8479532163742132E-3</c:v>
                </c:pt>
                <c:pt idx="72">
                  <c:v>5.8139534883721034E-3</c:v>
                </c:pt>
                <c:pt idx="73">
                  <c:v>5.7803468208093012E-3</c:v>
                </c:pt>
                <c:pt idx="74">
                  <c:v>5.7471264367816577E-3</c:v>
                </c:pt>
                <c:pt idx="75">
                  <c:v>5.7142857142857828E-3</c:v>
                </c:pt>
                <c:pt idx="76">
                  <c:v>5.6818181818181213E-3</c:v>
                </c:pt>
                <c:pt idx="77">
                  <c:v>5.6497175141243527E-3</c:v>
                </c:pt>
                <c:pt idx="78">
                  <c:v>5.6179775280897903E-3</c:v>
                </c:pt>
                <c:pt idx="79">
                  <c:v>5.5865921787709993E-3</c:v>
                </c:pt>
                <c:pt idx="80">
                  <c:v>5.5555555555555358E-3</c:v>
                </c:pt>
                <c:pt idx="81">
                  <c:v>5.5248618784529135E-3</c:v>
                </c:pt>
                <c:pt idx="82">
                  <c:v>5.494505494505697E-3</c:v>
                </c:pt>
                <c:pt idx="83">
                  <c:v>5.4644808743167239E-3</c:v>
                </c:pt>
                <c:pt idx="84">
                  <c:v>5.4347826086957873E-3</c:v>
                </c:pt>
                <c:pt idx="85">
                  <c:v>5.4054054054053502E-3</c:v>
                </c:pt>
                <c:pt idx="86">
                  <c:v>5.3763440860217226E-3</c:v>
                </c:pt>
                <c:pt idx="87">
                  <c:v>5.3475935828874999E-3</c:v>
                </c:pt>
                <c:pt idx="88">
                  <c:v>5.3191489361703592E-3</c:v>
                </c:pt>
                <c:pt idx="89">
                  <c:v>5.2910052910051242E-3</c:v>
                </c:pt>
                <c:pt idx="90">
                  <c:v>5.2631578947368585E-3</c:v>
                </c:pt>
                <c:pt idx="91">
                  <c:v>5.2356020942407877E-3</c:v>
                </c:pt>
                <c:pt idx="92">
                  <c:v>5.2083333333334814E-3</c:v>
                </c:pt>
                <c:pt idx="93">
                  <c:v>5.1813471502588637E-3</c:v>
                </c:pt>
                <c:pt idx="94">
                  <c:v>5.1546391752577136E-3</c:v>
                </c:pt>
                <c:pt idx="95">
                  <c:v>5.12820512820511E-3</c:v>
                </c:pt>
                <c:pt idx="96">
                  <c:v>5.1020408163264808E-3</c:v>
                </c:pt>
                <c:pt idx="97">
                  <c:v>5.0761421319795996E-3</c:v>
                </c:pt>
                <c:pt idx="98">
                  <c:v>5.050505050504972E-3</c:v>
                </c:pt>
                <c:pt idx="99">
                  <c:v>5.0251256281406143E-3</c:v>
                </c:pt>
                <c:pt idx="100">
                  <c:v>4.9999999999998934E-3</c:v>
                </c:pt>
                <c:pt idx="101">
                  <c:v>4.9751243781095411E-3</c:v>
                </c:pt>
                <c:pt idx="102">
                  <c:v>4.9504950495049549E-3</c:v>
                </c:pt>
                <c:pt idx="103">
                  <c:v>4.9261083743841194E-3</c:v>
                </c:pt>
                <c:pt idx="104">
                  <c:v>4.9019607843137081E-3</c:v>
                </c:pt>
                <c:pt idx="105">
                  <c:v>4.8780487804878092E-3</c:v>
                </c:pt>
                <c:pt idx="106">
                  <c:v>4.8543689320390548E-3</c:v>
                </c:pt>
                <c:pt idx="107">
                  <c:v>4.8309178743959347E-3</c:v>
                </c:pt>
                <c:pt idx="108">
                  <c:v>4.8076923076922906E-3</c:v>
                </c:pt>
                <c:pt idx="109">
                  <c:v>4.784688995215447E-3</c:v>
                </c:pt>
                <c:pt idx="110">
                  <c:v>4.761904761904967E-3</c:v>
                </c:pt>
                <c:pt idx="111">
                  <c:v>4.7393364928909332E-3</c:v>
                </c:pt>
                <c:pt idx="112">
                  <c:v>4.7169811320753041E-3</c:v>
                </c:pt>
                <c:pt idx="113">
                  <c:v>4.6948356807510194E-3</c:v>
                </c:pt>
                <c:pt idx="114">
                  <c:v>4.6728971962617383E-3</c:v>
                </c:pt>
                <c:pt idx="115">
                  <c:v>4.6511627906977715E-3</c:v>
                </c:pt>
                <c:pt idx="116">
                  <c:v>4.6296296296295392E-3</c:v>
                </c:pt>
                <c:pt idx="117">
                  <c:v>4.6082949308754451E-3</c:v>
                </c:pt>
                <c:pt idx="118">
                  <c:v>4.5871559633028358E-3</c:v>
                </c:pt>
                <c:pt idx="119">
                  <c:v>4.5662100456622667E-3</c:v>
                </c:pt>
                <c:pt idx="120">
                  <c:v>4.5454545454544082E-3</c:v>
                </c:pt>
                <c:pt idx="121">
                  <c:v>4.5248868778280382E-3</c:v>
                </c:pt>
                <c:pt idx="122">
                  <c:v>4.5045045045046805E-3</c:v>
                </c:pt>
                <c:pt idx="123">
                  <c:v>4.484304932735439E-3</c:v>
                </c:pt>
                <c:pt idx="124">
                  <c:v>4.4642857142855874E-3</c:v>
                </c:pt>
                <c:pt idx="125">
                  <c:v>4.444444444444251E-3</c:v>
                </c:pt>
                <c:pt idx="126">
                  <c:v>4.4247787610620648E-3</c:v>
                </c:pt>
                <c:pt idx="127">
                  <c:v>4.405286343612369E-3</c:v>
                </c:pt>
                <c:pt idx="128">
                  <c:v>4.3859649122806044E-3</c:v>
                </c:pt>
                <c:pt idx="129">
                  <c:v>4.366812227074135E-3</c:v>
                </c:pt>
                <c:pt idx="130">
                  <c:v>4.3478260869567187E-3</c:v>
                </c:pt>
                <c:pt idx="131">
                  <c:v>4.3290043290045155E-3</c:v>
                </c:pt>
                <c:pt idx="132">
                  <c:v>4.3103448275860767E-3</c:v>
                </c:pt>
                <c:pt idx="133">
                  <c:v>4.2918454935620964E-3</c:v>
                </c:pt>
                <c:pt idx="134">
                  <c:v>4.2735042735044804E-3</c:v>
                </c:pt>
                <c:pt idx="135">
                  <c:v>4.2553191489362874E-3</c:v>
                </c:pt>
                <c:pt idx="136">
                  <c:v>4.237288135593209E-3</c:v>
                </c:pt>
                <c:pt idx="137">
                  <c:v>4.2194092827003704E-3</c:v>
                </c:pt>
                <c:pt idx="138">
                  <c:v>4.2016806722688926E-3</c:v>
                </c:pt>
                <c:pt idx="139">
                  <c:v>4.1841004184102193E-3</c:v>
                </c:pt>
                <c:pt idx="140">
                  <c:v>4.1666666666668739E-3</c:v>
                </c:pt>
                <c:pt idx="141">
                  <c:v>4.1493775933609811E-3</c:v>
                </c:pt>
                <c:pt idx="142">
                  <c:v>4.1322314049585529E-3</c:v>
                </c:pt>
                <c:pt idx="143">
                  <c:v>4.115226337448652E-3</c:v>
                </c:pt>
                <c:pt idx="144">
                  <c:v>4.098360655737876E-3</c:v>
                </c:pt>
                <c:pt idx="145">
                  <c:v>4.0816326530610514E-3</c:v>
                </c:pt>
                <c:pt idx="146">
                  <c:v>4.0650406504063596E-3</c:v>
                </c:pt>
                <c:pt idx="147">
                  <c:v>4.0485829959515662E-3</c:v>
                </c:pt>
                <c:pt idx="148">
                  <c:v>4.0322580645162365E-3</c:v>
                </c:pt>
                <c:pt idx="149">
                  <c:v>4.0160642570279403E-3</c:v>
                </c:pt>
                <c:pt idx="150">
                  <c:v>4.0000000000000036E-3</c:v>
                </c:pt>
                <c:pt idx="151">
                  <c:v>3.9840637450199168E-3</c:v>
                </c:pt>
                <c:pt idx="152">
                  <c:v>3.9682539682539542E-3</c:v>
                </c:pt>
                <c:pt idx="153">
                  <c:v>3.9525691699604515E-3</c:v>
                </c:pt>
                <c:pt idx="154">
                  <c:v>3.937007874015741E-3</c:v>
                </c:pt>
                <c:pt idx="155">
                  <c:v>3.9215686274509665E-3</c:v>
                </c:pt>
                <c:pt idx="156">
                  <c:v>3.90625E-3</c:v>
                </c:pt>
                <c:pt idx="157">
                  <c:v>3.8910505836575737E-3</c:v>
                </c:pt>
                <c:pt idx="158">
                  <c:v>3.8759689922480689E-3</c:v>
                </c:pt>
                <c:pt idx="159">
                  <c:v>3.8610038610038533E-3</c:v>
                </c:pt>
                <c:pt idx="160">
                  <c:v>3.8461538461538325E-3</c:v>
                </c:pt>
                <c:pt idx="161">
                  <c:v>3.8314176245208831E-3</c:v>
                </c:pt>
                <c:pt idx="162">
                  <c:v>3.8167938931297218E-3</c:v>
                </c:pt>
                <c:pt idx="163">
                  <c:v>3.8022813688212143E-3</c:v>
                </c:pt>
                <c:pt idx="164">
                  <c:v>3.7878787878788955E-3</c:v>
                </c:pt>
                <c:pt idx="165">
                  <c:v>3.7735849056603765E-3</c:v>
                </c:pt>
                <c:pt idx="166">
                  <c:v>3.759398496240518E-3</c:v>
                </c:pt>
                <c:pt idx="167">
                  <c:v>3.7453183520599342E-3</c:v>
                </c:pt>
                <c:pt idx="168">
                  <c:v>3.7313432835821558E-3</c:v>
                </c:pt>
                <c:pt idx="169">
                  <c:v>3.7174721189592308E-3</c:v>
                </c:pt>
                <c:pt idx="170">
                  <c:v>3.7037037037035425E-3</c:v>
                </c:pt>
                <c:pt idx="171">
                  <c:v>3.6900369003689537E-3</c:v>
                </c:pt>
                <c:pt idx="172">
                  <c:v>3.6764705882352811E-3</c:v>
                </c:pt>
                <c:pt idx="173">
                  <c:v>3.66300366300365E-3</c:v>
                </c:pt>
                <c:pt idx="174">
                  <c:v>3.6496350364962904E-3</c:v>
                </c:pt>
                <c:pt idx="175">
                  <c:v>3.6363636363636598E-3</c:v>
                </c:pt>
                <c:pt idx="176">
                  <c:v>3.6231884057971175E-3</c:v>
                </c:pt>
                <c:pt idx="177">
                  <c:v>3.6101083032491488E-3</c:v>
                </c:pt>
                <c:pt idx="178">
                  <c:v>3.597122302158251E-3</c:v>
                </c:pt>
                <c:pt idx="179">
                  <c:v>3.5842293906809264E-3</c:v>
                </c:pt>
                <c:pt idx="180">
                  <c:v>3.5714285714285587E-3</c:v>
                </c:pt>
                <c:pt idx="181">
                  <c:v>3.558718861210064E-3</c:v>
                </c:pt>
                <c:pt idx="182">
                  <c:v>3.5460992907800915E-3</c:v>
                </c:pt>
                <c:pt idx="183">
                  <c:v>3.5335689045936647E-3</c:v>
                </c:pt>
                <c:pt idx="184">
                  <c:v>3.5211267605634866E-3</c:v>
                </c:pt>
                <c:pt idx="185">
                  <c:v>3.5087719298245723E-3</c:v>
                </c:pt>
                <c:pt idx="186">
                  <c:v>3.4965034965033226E-3</c:v>
                </c:pt>
                <c:pt idx="187">
                  <c:v>3.4843205574912606E-3</c:v>
                </c:pt>
                <c:pt idx="188">
                  <c:v>3.4722222222220989E-3</c:v>
                </c:pt>
                <c:pt idx="189">
                  <c:v>3.4602076124568004E-3</c:v>
                </c:pt>
                <c:pt idx="190">
                  <c:v>3.4482758620690834E-3</c:v>
                </c:pt>
                <c:pt idx="191">
                  <c:v>3.4364261168384758E-3</c:v>
                </c:pt>
                <c:pt idx="192">
                  <c:v>3.424657534246478E-3</c:v>
                </c:pt>
                <c:pt idx="193">
                  <c:v>3.4129692832765013E-3</c:v>
                </c:pt>
                <c:pt idx="194">
                  <c:v>3.4013605442178019E-3</c:v>
                </c:pt>
                <c:pt idx="195">
                  <c:v>3.3898305084745228E-3</c:v>
                </c:pt>
                <c:pt idx="196">
                  <c:v>3.3783783783782884E-3</c:v>
                </c:pt>
                <c:pt idx="197">
                  <c:v>3.3670033670034627E-3</c:v>
                </c:pt>
                <c:pt idx="198">
                  <c:v>3.3557046979866278E-3</c:v>
                </c:pt>
                <c:pt idx="199">
                  <c:v>3.3444816053511683E-3</c:v>
                </c:pt>
                <c:pt idx="200">
                  <c:v>3.3333333333331883E-3</c:v>
                </c:pt>
                <c:pt idx="201">
                  <c:v>3.3222591362127574E-3</c:v>
                </c:pt>
                <c:pt idx="202">
                  <c:v>3.3112582781456013E-3</c:v>
                </c:pt>
                <c:pt idx="203">
                  <c:v>3.3003300330034513E-3</c:v>
                </c:pt>
                <c:pt idx="204">
                  <c:v>3.2894736842103978E-3</c:v>
                </c:pt>
                <c:pt idx="205">
                  <c:v>3.2786885245903452E-3</c:v>
                </c:pt>
                <c:pt idx="206">
                  <c:v>3.2679738562091387E-3</c:v>
                </c:pt>
                <c:pt idx="207">
                  <c:v>3.2573289902280145E-3</c:v>
                </c:pt>
                <c:pt idx="208">
                  <c:v>3.2467532467532756E-3</c:v>
                </c:pt>
                <c:pt idx="209">
                  <c:v>3.2362459546926292E-3</c:v>
                </c:pt>
                <c:pt idx="210">
                  <c:v>3.225806451612856E-3</c:v>
                </c:pt>
                <c:pt idx="211">
                  <c:v>3.215434083601254E-3</c:v>
                </c:pt>
                <c:pt idx="212">
                  <c:v>3.2051282051281937E-3</c:v>
                </c:pt>
                <c:pt idx="213">
                  <c:v>3.1948881789138905E-3</c:v>
                </c:pt>
                <c:pt idx="214">
                  <c:v>3.1847133757960666E-3</c:v>
                </c:pt>
                <c:pt idx="215">
                  <c:v>3.1746031746031633E-3</c:v>
                </c:pt>
                <c:pt idx="216">
                  <c:v>3.1645569620253333E-3</c:v>
                </c:pt>
                <c:pt idx="217">
                  <c:v>3.154574132492094E-3</c:v>
                </c:pt>
                <c:pt idx="218">
                  <c:v>3.1446540880502027E-3</c:v>
                </c:pt>
                <c:pt idx="219">
                  <c:v>3.1347962382446415E-3</c:v>
                </c:pt>
                <c:pt idx="220">
                  <c:v>3.1249999999998224E-3</c:v>
                </c:pt>
                <c:pt idx="221">
                  <c:v>3.1152647975078995E-3</c:v>
                </c:pt>
                <c:pt idx="222">
                  <c:v>3.1055900621117516E-3</c:v>
                </c:pt>
                <c:pt idx="223">
                  <c:v>3.0959752321981782E-3</c:v>
                </c:pt>
                <c:pt idx="224">
                  <c:v>3.0864197530864335E-3</c:v>
                </c:pt>
                <c:pt idx="225">
                  <c:v>3.0769230769229772E-3</c:v>
                </c:pt>
                <c:pt idx="226">
                  <c:v>3.0674846625766694E-3</c:v>
                </c:pt>
                <c:pt idx="227">
                  <c:v>3.0581039755350758E-3</c:v>
                </c:pt>
                <c:pt idx="228">
                  <c:v>3.0487804878049918E-3</c:v>
                </c:pt>
                <c:pt idx="229">
                  <c:v>3.0395136778114118E-3</c:v>
                </c:pt>
                <c:pt idx="230">
                  <c:v>3.0303030303031608E-3</c:v>
                </c:pt>
                <c:pt idx="231">
                  <c:v>3.0211480362536403E-3</c:v>
                </c:pt>
                <c:pt idx="232">
                  <c:v>3.0120481927711218E-3</c:v>
                </c:pt>
                <c:pt idx="233">
                  <c:v>3.0030030030030463E-3</c:v>
                </c:pt>
                <c:pt idx="234">
                  <c:v>2.9940119760478723E-3</c:v>
                </c:pt>
                <c:pt idx="235">
                  <c:v>2.9850746268655914E-3</c:v>
                </c:pt>
                <c:pt idx="236">
                  <c:v>2.9761904761904656E-3</c:v>
                </c:pt>
                <c:pt idx="237">
                  <c:v>2.9673590504450953E-3</c:v>
                </c:pt>
                <c:pt idx="238">
                  <c:v>2.9585798816569309E-3</c:v>
                </c:pt>
                <c:pt idx="239">
                  <c:v>2.9498525073745618E-3</c:v>
                </c:pt>
                <c:pt idx="240">
                  <c:v>2.9411764705882248E-3</c:v>
                </c:pt>
                <c:pt idx="241">
                  <c:v>2.9325513196480912E-3</c:v>
                </c:pt>
                <c:pt idx="242">
                  <c:v>2.9239766081872176E-3</c:v>
                </c:pt>
                <c:pt idx="243">
                  <c:v>2.9154518950436081E-3</c:v>
                </c:pt>
                <c:pt idx="244">
                  <c:v>2.9069767441860517E-3</c:v>
                </c:pt>
                <c:pt idx="245">
                  <c:v>2.8985507246375164E-3</c:v>
                </c:pt>
                <c:pt idx="246">
                  <c:v>2.8901734104047616E-3</c:v>
                </c:pt>
                <c:pt idx="247">
                  <c:v>2.8818443804032867E-3</c:v>
                </c:pt>
                <c:pt idx="248">
                  <c:v>2.8735632183909399E-3</c:v>
                </c:pt>
                <c:pt idx="249">
                  <c:v>2.8653295128939771E-3</c:v>
                </c:pt>
                <c:pt idx="250">
                  <c:v>2.8571428571428914E-3</c:v>
                </c:pt>
                <c:pt idx="251">
                  <c:v>2.8490028490029129E-3</c:v>
                </c:pt>
                <c:pt idx="252">
                  <c:v>2.8409090909089496E-3</c:v>
                </c:pt>
                <c:pt idx="253">
                  <c:v>2.8328611898018607E-3</c:v>
                </c:pt>
                <c:pt idx="254">
                  <c:v>2.8248587570620654E-3</c:v>
                </c:pt>
                <c:pt idx="255">
                  <c:v>2.8169014084507005E-3</c:v>
                </c:pt>
                <c:pt idx="256">
                  <c:v>2.8089887640447841E-3</c:v>
                </c:pt>
                <c:pt idx="257">
                  <c:v>2.8011204481792618E-3</c:v>
                </c:pt>
                <c:pt idx="258">
                  <c:v>2.7932960893854997E-3</c:v>
                </c:pt>
                <c:pt idx="259">
                  <c:v>2.7855153203342198E-3</c:v>
                </c:pt>
                <c:pt idx="260">
                  <c:v>2.7777777777777679E-3</c:v>
                </c:pt>
                <c:pt idx="261">
                  <c:v>2.7700831024930483E-3</c:v>
                </c:pt>
                <c:pt idx="262">
                  <c:v>2.7624309392264568E-3</c:v>
                </c:pt>
                <c:pt idx="263">
                  <c:v>2.7548209366392573E-3</c:v>
                </c:pt>
                <c:pt idx="264">
                  <c:v>2.7472527472527375E-3</c:v>
                </c:pt>
                <c:pt idx="265">
                  <c:v>2.73972602739736E-3</c:v>
                </c:pt>
                <c:pt idx="266">
                  <c:v>2.732240437158362E-3</c:v>
                </c:pt>
                <c:pt idx="267">
                  <c:v>2.7247956403271267E-3</c:v>
                </c:pt>
                <c:pt idx="268">
                  <c:v>2.7173913043476716E-3</c:v>
                </c:pt>
                <c:pt idx="269">
                  <c:v>2.7100271002711285E-3</c:v>
                </c:pt>
                <c:pt idx="270">
                  <c:v>2.7027027027026751E-3</c:v>
                </c:pt>
                <c:pt idx="271">
                  <c:v>2.6954177897575704E-3</c:v>
                </c:pt>
                <c:pt idx="272">
                  <c:v>2.6881720430107503E-3</c:v>
                </c:pt>
                <c:pt idx="273">
                  <c:v>2.6809651474530849E-3</c:v>
                </c:pt>
                <c:pt idx="274">
                  <c:v>2.673796791443861E-3</c:v>
                </c:pt>
                <c:pt idx="275">
                  <c:v>2.666666666666595E-3</c:v>
                </c:pt>
                <c:pt idx="276">
                  <c:v>2.6595744680850686E-3</c:v>
                </c:pt>
                <c:pt idx="277">
                  <c:v>2.6525198938991412E-3</c:v>
                </c:pt>
                <c:pt idx="278">
                  <c:v>2.6455026455027841E-3</c:v>
                </c:pt>
                <c:pt idx="279">
                  <c:v>2.6385224274405594E-3</c:v>
                </c:pt>
                <c:pt idx="280">
                  <c:v>2.6315789473685403E-3</c:v>
                </c:pt>
                <c:pt idx="281">
                  <c:v>2.624671916010346E-3</c:v>
                </c:pt>
                <c:pt idx="282">
                  <c:v>2.6178010471205049E-3</c:v>
                </c:pt>
                <c:pt idx="283">
                  <c:v>2.6109660574411553E-3</c:v>
                </c:pt>
                <c:pt idx="284">
                  <c:v>2.6041666666667407E-3</c:v>
                </c:pt>
                <c:pt idx="285">
                  <c:v>2.5974025974024872E-3</c:v>
                </c:pt>
                <c:pt idx="286">
                  <c:v>2.5906735751295429E-3</c:v>
                </c:pt>
                <c:pt idx="287">
                  <c:v>2.5839793281652312E-3</c:v>
                </c:pt>
                <c:pt idx="288">
                  <c:v>2.5773195876288568E-3</c:v>
                </c:pt>
                <c:pt idx="289">
                  <c:v>2.5706940874035134E-3</c:v>
                </c:pt>
                <c:pt idx="290">
                  <c:v>2.564102564102555E-3</c:v>
                </c:pt>
                <c:pt idx="291">
                  <c:v>2.5575447570331811E-3</c:v>
                </c:pt>
                <c:pt idx="292">
                  <c:v>2.5510204081633514E-3</c:v>
                </c:pt>
                <c:pt idx="293">
                  <c:v>2.5445292620864812E-3</c:v>
                </c:pt>
                <c:pt idx="294">
                  <c:v>2.5380710659899108E-3</c:v>
                </c:pt>
                <c:pt idx="295">
                  <c:v>2.5316455696202667E-3</c:v>
                </c:pt>
                <c:pt idx="296">
                  <c:v>2.525252525252597E-3</c:v>
                </c:pt>
                <c:pt idx="297">
                  <c:v>2.5188916876572875E-3</c:v>
                </c:pt>
                <c:pt idx="298">
                  <c:v>2.5125628140703071E-3</c:v>
                </c:pt>
                <c:pt idx="299">
                  <c:v>2.5062656641603454E-3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013-4B15-88A5-21FD27DA2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属性加成</a:t>
                </a:r>
                <a:r>
                  <a:rPr lang="en-US" altLang="zh-CN"/>
                  <a:t>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乘区系数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每</a:t>
                </a:r>
                <a:r>
                  <a:rPr lang="en-US" altLang="zh-CN"/>
                  <a:t>+1%</a:t>
                </a:r>
                <a:r>
                  <a:rPr lang="zh-CN" altLang="en-US"/>
                  <a:t>边际收益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增伤乘区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增伤乘区!$B$1</c:f>
              <c:strCache>
                <c:ptCount val="1"/>
                <c:pt idx="0">
                  <c:v>乘区系数</c:v>
                </c:pt>
              </c:strCache>
            </c:strRef>
          </c:tx>
          <c:spPr>
            <a:ln w="24000">
              <a:solidFill>
                <a:srgbClr val="E76F51"/>
              </a:solidFill>
              <a:prstDash val="solid"/>
            </a:ln>
          </c:spPr>
          <c:marker>
            <c:symbol val="none"/>
          </c:marker>
          <c:cat>
            <c:numRef>
              <c:f>增伤乘区!$A$2:$A$302</c:f>
              <c:numCache>
                <c:formatCode>General</c:formatCode>
                <c:ptCount val="3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</c:numCache>
            </c:numRef>
          </c:cat>
          <c:val>
            <c:numRef>
              <c:f>增伤乘区!$B$2:$B$302</c:f>
              <c:numCache>
                <c:formatCode>0.0000</c:formatCode>
                <c:ptCount val="301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1.1299999999999999</c:v>
                </c:pt>
                <c:pt idx="14">
                  <c:v>1.1400000000000001</c:v>
                </c:pt>
                <c:pt idx="15">
                  <c:v>1.1499999999999999</c:v>
                </c:pt>
                <c:pt idx="16">
                  <c:v>1.1599999999999999</c:v>
                </c:pt>
                <c:pt idx="17">
                  <c:v>1.17</c:v>
                </c:pt>
                <c:pt idx="18">
                  <c:v>1.18</c:v>
                </c:pt>
                <c:pt idx="19">
                  <c:v>1.19</c:v>
                </c:pt>
                <c:pt idx="20">
                  <c:v>1.2</c:v>
                </c:pt>
                <c:pt idx="21">
                  <c:v>1.21</c:v>
                </c:pt>
                <c:pt idx="22">
                  <c:v>1.22</c:v>
                </c:pt>
                <c:pt idx="23">
                  <c:v>1.23</c:v>
                </c:pt>
                <c:pt idx="24">
                  <c:v>1.24</c:v>
                </c:pt>
                <c:pt idx="25">
                  <c:v>1.25</c:v>
                </c:pt>
                <c:pt idx="26">
                  <c:v>1.26</c:v>
                </c:pt>
                <c:pt idx="27">
                  <c:v>1.27</c:v>
                </c:pt>
                <c:pt idx="28">
                  <c:v>1.28</c:v>
                </c:pt>
                <c:pt idx="29">
                  <c:v>1.29</c:v>
                </c:pt>
                <c:pt idx="30">
                  <c:v>1.3</c:v>
                </c:pt>
                <c:pt idx="31">
                  <c:v>1.31</c:v>
                </c:pt>
                <c:pt idx="32">
                  <c:v>1.32</c:v>
                </c:pt>
                <c:pt idx="33">
                  <c:v>1.33</c:v>
                </c:pt>
                <c:pt idx="34">
                  <c:v>1.34</c:v>
                </c:pt>
                <c:pt idx="35">
                  <c:v>1.35</c:v>
                </c:pt>
                <c:pt idx="36">
                  <c:v>1.3599999999999999</c:v>
                </c:pt>
                <c:pt idx="37">
                  <c:v>1.37</c:v>
                </c:pt>
                <c:pt idx="38">
                  <c:v>1.38</c:v>
                </c:pt>
                <c:pt idx="39">
                  <c:v>1.3900000000000001</c:v>
                </c:pt>
                <c:pt idx="40">
                  <c:v>1.4</c:v>
                </c:pt>
                <c:pt idx="41">
                  <c:v>1.41</c:v>
                </c:pt>
                <c:pt idx="42">
                  <c:v>1.42</c:v>
                </c:pt>
                <c:pt idx="43">
                  <c:v>1.43</c:v>
                </c:pt>
                <c:pt idx="44">
                  <c:v>1.44</c:v>
                </c:pt>
                <c:pt idx="45">
                  <c:v>1.45</c:v>
                </c:pt>
                <c:pt idx="46">
                  <c:v>1.46</c:v>
                </c:pt>
                <c:pt idx="47">
                  <c:v>1.47</c:v>
                </c:pt>
                <c:pt idx="48">
                  <c:v>1.48</c:v>
                </c:pt>
                <c:pt idx="49">
                  <c:v>1.49</c:v>
                </c:pt>
                <c:pt idx="50">
                  <c:v>1.5</c:v>
                </c:pt>
                <c:pt idx="51">
                  <c:v>1.51</c:v>
                </c:pt>
                <c:pt idx="52">
                  <c:v>1.52</c:v>
                </c:pt>
                <c:pt idx="53">
                  <c:v>1.53</c:v>
                </c:pt>
                <c:pt idx="54">
                  <c:v>1.54</c:v>
                </c:pt>
                <c:pt idx="55">
                  <c:v>1.55</c:v>
                </c:pt>
                <c:pt idx="56">
                  <c:v>1.56</c:v>
                </c:pt>
                <c:pt idx="57">
                  <c:v>1.5699999999999998</c:v>
                </c:pt>
                <c:pt idx="58">
                  <c:v>1.58</c:v>
                </c:pt>
                <c:pt idx="59">
                  <c:v>1.5899999999999999</c:v>
                </c:pt>
                <c:pt idx="60">
                  <c:v>1.6</c:v>
                </c:pt>
                <c:pt idx="61">
                  <c:v>1.6099999999999999</c:v>
                </c:pt>
                <c:pt idx="62">
                  <c:v>1.62</c:v>
                </c:pt>
                <c:pt idx="63">
                  <c:v>1.63</c:v>
                </c:pt>
                <c:pt idx="64">
                  <c:v>1.6400000000000001</c:v>
                </c:pt>
                <c:pt idx="65">
                  <c:v>1.65</c:v>
                </c:pt>
                <c:pt idx="66">
                  <c:v>1.6600000000000001</c:v>
                </c:pt>
                <c:pt idx="67">
                  <c:v>1.67</c:v>
                </c:pt>
                <c:pt idx="68">
                  <c:v>1.6800000000000002</c:v>
                </c:pt>
                <c:pt idx="69">
                  <c:v>1.69</c:v>
                </c:pt>
                <c:pt idx="70">
                  <c:v>1.7</c:v>
                </c:pt>
                <c:pt idx="71">
                  <c:v>1.71</c:v>
                </c:pt>
                <c:pt idx="72">
                  <c:v>1.72</c:v>
                </c:pt>
                <c:pt idx="73">
                  <c:v>1.73</c:v>
                </c:pt>
                <c:pt idx="74">
                  <c:v>1.74</c:v>
                </c:pt>
                <c:pt idx="75">
                  <c:v>1.75</c:v>
                </c:pt>
                <c:pt idx="76">
                  <c:v>1.76</c:v>
                </c:pt>
                <c:pt idx="77">
                  <c:v>1.77</c:v>
                </c:pt>
                <c:pt idx="78">
                  <c:v>1.78</c:v>
                </c:pt>
                <c:pt idx="79">
                  <c:v>1.79</c:v>
                </c:pt>
                <c:pt idx="80">
                  <c:v>1.8</c:v>
                </c:pt>
                <c:pt idx="81">
                  <c:v>1.81</c:v>
                </c:pt>
                <c:pt idx="82">
                  <c:v>1.8199999999999998</c:v>
                </c:pt>
                <c:pt idx="83">
                  <c:v>1.83</c:v>
                </c:pt>
                <c:pt idx="84">
                  <c:v>1.8399999999999999</c:v>
                </c:pt>
                <c:pt idx="85">
                  <c:v>1.85</c:v>
                </c:pt>
                <c:pt idx="86">
                  <c:v>1.8599999999999999</c:v>
                </c:pt>
                <c:pt idx="87">
                  <c:v>1.87</c:v>
                </c:pt>
                <c:pt idx="88">
                  <c:v>1.88</c:v>
                </c:pt>
                <c:pt idx="89">
                  <c:v>1.8900000000000001</c:v>
                </c:pt>
                <c:pt idx="90">
                  <c:v>1.9</c:v>
                </c:pt>
                <c:pt idx="91">
                  <c:v>1.9100000000000001</c:v>
                </c:pt>
                <c:pt idx="92">
                  <c:v>1.92</c:v>
                </c:pt>
                <c:pt idx="93">
                  <c:v>1.9300000000000002</c:v>
                </c:pt>
                <c:pt idx="94">
                  <c:v>1.94</c:v>
                </c:pt>
                <c:pt idx="95">
                  <c:v>1.95</c:v>
                </c:pt>
                <c:pt idx="96">
                  <c:v>1.96</c:v>
                </c:pt>
                <c:pt idx="97">
                  <c:v>1.97</c:v>
                </c:pt>
                <c:pt idx="98">
                  <c:v>1.98</c:v>
                </c:pt>
                <c:pt idx="99">
                  <c:v>1.99</c:v>
                </c:pt>
                <c:pt idx="100">
                  <c:v>2</c:v>
                </c:pt>
                <c:pt idx="101">
                  <c:v>2.0099999999999998</c:v>
                </c:pt>
                <c:pt idx="102">
                  <c:v>2.02</c:v>
                </c:pt>
                <c:pt idx="103">
                  <c:v>2.0300000000000002</c:v>
                </c:pt>
                <c:pt idx="104">
                  <c:v>2.04</c:v>
                </c:pt>
                <c:pt idx="105">
                  <c:v>2.0499999999999998</c:v>
                </c:pt>
                <c:pt idx="106">
                  <c:v>2.06</c:v>
                </c:pt>
                <c:pt idx="107">
                  <c:v>2.0700000000000003</c:v>
                </c:pt>
                <c:pt idx="108">
                  <c:v>2.08</c:v>
                </c:pt>
                <c:pt idx="109">
                  <c:v>2.09</c:v>
                </c:pt>
                <c:pt idx="110">
                  <c:v>2.1</c:v>
                </c:pt>
                <c:pt idx="111">
                  <c:v>2.1100000000000003</c:v>
                </c:pt>
                <c:pt idx="112">
                  <c:v>2.12</c:v>
                </c:pt>
                <c:pt idx="113">
                  <c:v>2.13</c:v>
                </c:pt>
                <c:pt idx="114">
                  <c:v>2.1399999999999997</c:v>
                </c:pt>
                <c:pt idx="115">
                  <c:v>2.15</c:v>
                </c:pt>
                <c:pt idx="116">
                  <c:v>2.16</c:v>
                </c:pt>
                <c:pt idx="117">
                  <c:v>2.17</c:v>
                </c:pt>
                <c:pt idx="118">
                  <c:v>2.1799999999999997</c:v>
                </c:pt>
                <c:pt idx="119">
                  <c:v>2.19</c:v>
                </c:pt>
                <c:pt idx="120">
                  <c:v>2.2000000000000002</c:v>
                </c:pt>
                <c:pt idx="121">
                  <c:v>2.21</c:v>
                </c:pt>
                <c:pt idx="122">
                  <c:v>2.2199999999999998</c:v>
                </c:pt>
                <c:pt idx="123">
                  <c:v>2.23</c:v>
                </c:pt>
                <c:pt idx="124">
                  <c:v>2.2400000000000002</c:v>
                </c:pt>
                <c:pt idx="125">
                  <c:v>2.25</c:v>
                </c:pt>
                <c:pt idx="126">
                  <c:v>2.2599999999999998</c:v>
                </c:pt>
                <c:pt idx="127">
                  <c:v>2.27</c:v>
                </c:pt>
                <c:pt idx="128">
                  <c:v>2.2800000000000002</c:v>
                </c:pt>
                <c:pt idx="129">
                  <c:v>2.29</c:v>
                </c:pt>
                <c:pt idx="130">
                  <c:v>2.2999999999999998</c:v>
                </c:pt>
                <c:pt idx="131">
                  <c:v>2.31</c:v>
                </c:pt>
                <c:pt idx="132">
                  <c:v>2.3200000000000003</c:v>
                </c:pt>
                <c:pt idx="133">
                  <c:v>2.33</c:v>
                </c:pt>
                <c:pt idx="134">
                  <c:v>2.34</c:v>
                </c:pt>
                <c:pt idx="135">
                  <c:v>2.35</c:v>
                </c:pt>
                <c:pt idx="136">
                  <c:v>2.3600000000000003</c:v>
                </c:pt>
                <c:pt idx="137">
                  <c:v>2.37</c:v>
                </c:pt>
                <c:pt idx="138">
                  <c:v>2.38</c:v>
                </c:pt>
                <c:pt idx="139">
                  <c:v>2.3899999999999997</c:v>
                </c:pt>
                <c:pt idx="140">
                  <c:v>2.4</c:v>
                </c:pt>
                <c:pt idx="141">
                  <c:v>2.41</c:v>
                </c:pt>
                <c:pt idx="142">
                  <c:v>2.42</c:v>
                </c:pt>
                <c:pt idx="143">
                  <c:v>2.4299999999999997</c:v>
                </c:pt>
                <c:pt idx="144">
                  <c:v>2.44</c:v>
                </c:pt>
                <c:pt idx="145">
                  <c:v>2.4500000000000002</c:v>
                </c:pt>
                <c:pt idx="146">
                  <c:v>2.46</c:v>
                </c:pt>
                <c:pt idx="147">
                  <c:v>2.4699999999999998</c:v>
                </c:pt>
                <c:pt idx="148">
                  <c:v>2.48</c:v>
                </c:pt>
                <c:pt idx="149">
                  <c:v>2.4900000000000002</c:v>
                </c:pt>
                <c:pt idx="150">
                  <c:v>2.5</c:v>
                </c:pt>
                <c:pt idx="151">
                  <c:v>2.5099999999999998</c:v>
                </c:pt>
                <c:pt idx="152">
                  <c:v>2.52</c:v>
                </c:pt>
                <c:pt idx="153">
                  <c:v>2.5300000000000002</c:v>
                </c:pt>
                <c:pt idx="154">
                  <c:v>2.54</c:v>
                </c:pt>
                <c:pt idx="155">
                  <c:v>2.5499999999999998</c:v>
                </c:pt>
                <c:pt idx="156">
                  <c:v>2.56</c:v>
                </c:pt>
                <c:pt idx="157">
                  <c:v>2.5700000000000003</c:v>
                </c:pt>
                <c:pt idx="158">
                  <c:v>2.58</c:v>
                </c:pt>
                <c:pt idx="159">
                  <c:v>2.59</c:v>
                </c:pt>
                <c:pt idx="160">
                  <c:v>2.6</c:v>
                </c:pt>
                <c:pt idx="161">
                  <c:v>2.6100000000000003</c:v>
                </c:pt>
                <c:pt idx="162">
                  <c:v>2.62</c:v>
                </c:pt>
                <c:pt idx="163">
                  <c:v>2.63</c:v>
                </c:pt>
                <c:pt idx="164">
                  <c:v>2.6399999999999997</c:v>
                </c:pt>
                <c:pt idx="165">
                  <c:v>2.65</c:v>
                </c:pt>
                <c:pt idx="166">
                  <c:v>2.66</c:v>
                </c:pt>
                <c:pt idx="167">
                  <c:v>2.67</c:v>
                </c:pt>
                <c:pt idx="168">
                  <c:v>2.6799999999999997</c:v>
                </c:pt>
                <c:pt idx="169">
                  <c:v>2.69</c:v>
                </c:pt>
                <c:pt idx="170">
                  <c:v>2.7</c:v>
                </c:pt>
                <c:pt idx="171">
                  <c:v>2.71</c:v>
                </c:pt>
                <c:pt idx="172">
                  <c:v>2.7199999999999998</c:v>
                </c:pt>
                <c:pt idx="173">
                  <c:v>2.73</c:v>
                </c:pt>
                <c:pt idx="174">
                  <c:v>2.74</c:v>
                </c:pt>
                <c:pt idx="175">
                  <c:v>2.75</c:v>
                </c:pt>
                <c:pt idx="176">
                  <c:v>2.76</c:v>
                </c:pt>
                <c:pt idx="177">
                  <c:v>2.77</c:v>
                </c:pt>
                <c:pt idx="178">
                  <c:v>2.7800000000000002</c:v>
                </c:pt>
                <c:pt idx="179">
                  <c:v>2.79</c:v>
                </c:pt>
                <c:pt idx="180">
                  <c:v>2.8</c:v>
                </c:pt>
                <c:pt idx="181">
                  <c:v>2.81</c:v>
                </c:pt>
                <c:pt idx="182">
                  <c:v>2.8200000000000003</c:v>
                </c:pt>
                <c:pt idx="183">
                  <c:v>2.83</c:v>
                </c:pt>
                <c:pt idx="184">
                  <c:v>2.84</c:v>
                </c:pt>
                <c:pt idx="185">
                  <c:v>2.85</c:v>
                </c:pt>
                <c:pt idx="186">
                  <c:v>2.8600000000000003</c:v>
                </c:pt>
                <c:pt idx="187">
                  <c:v>2.87</c:v>
                </c:pt>
                <c:pt idx="188">
                  <c:v>2.88</c:v>
                </c:pt>
                <c:pt idx="189">
                  <c:v>2.8899999999999997</c:v>
                </c:pt>
                <c:pt idx="190">
                  <c:v>2.9</c:v>
                </c:pt>
                <c:pt idx="191">
                  <c:v>2.91</c:v>
                </c:pt>
                <c:pt idx="192">
                  <c:v>2.92</c:v>
                </c:pt>
                <c:pt idx="193">
                  <c:v>2.9299999999999997</c:v>
                </c:pt>
                <c:pt idx="194">
                  <c:v>2.94</c:v>
                </c:pt>
                <c:pt idx="195">
                  <c:v>2.95</c:v>
                </c:pt>
                <c:pt idx="196">
                  <c:v>2.96</c:v>
                </c:pt>
                <c:pt idx="197">
                  <c:v>2.9699999999999998</c:v>
                </c:pt>
                <c:pt idx="198">
                  <c:v>2.98</c:v>
                </c:pt>
                <c:pt idx="199">
                  <c:v>2.99</c:v>
                </c:pt>
                <c:pt idx="200">
                  <c:v>3</c:v>
                </c:pt>
                <c:pt idx="201">
                  <c:v>3.01</c:v>
                </c:pt>
                <c:pt idx="202">
                  <c:v>3.02</c:v>
                </c:pt>
                <c:pt idx="203">
                  <c:v>3.03</c:v>
                </c:pt>
                <c:pt idx="204">
                  <c:v>3.04</c:v>
                </c:pt>
                <c:pt idx="205">
                  <c:v>3.05</c:v>
                </c:pt>
                <c:pt idx="206">
                  <c:v>3.06</c:v>
                </c:pt>
                <c:pt idx="207">
                  <c:v>3.07</c:v>
                </c:pt>
                <c:pt idx="208">
                  <c:v>3.08</c:v>
                </c:pt>
                <c:pt idx="209">
                  <c:v>3.09</c:v>
                </c:pt>
                <c:pt idx="210">
                  <c:v>3.1</c:v>
                </c:pt>
                <c:pt idx="211">
                  <c:v>3.11</c:v>
                </c:pt>
                <c:pt idx="212">
                  <c:v>3.12</c:v>
                </c:pt>
                <c:pt idx="213">
                  <c:v>3.13</c:v>
                </c:pt>
                <c:pt idx="214">
                  <c:v>3.14</c:v>
                </c:pt>
                <c:pt idx="215">
                  <c:v>3.15</c:v>
                </c:pt>
                <c:pt idx="216">
                  <c:v>3.16</c:v>
                </c:pt>
                <c:pt idx="217">
                  <c:v>3.17</c:v>
                </c:pt>
                <c:pt idx="218">
                  <c:v>3.18</c:v>
                </c:pt>
                <c:pt idx="219">
                  <c:v>3.19</c:v>
                </c:pt>
                <c:pt idx="220">
                  <c:v>3.2</c:v>
                </c:pt>
                <c:pt idx="221">
                  <c:v>3.21</c:v>
                </c:pt>
                <c:pt idx="222">
                  <c:v>3.22</c:v>
                </c:pt>
                <c:pt idx="223">
                  <c:v>3.23</c:v>
                </c:pt>
                <c:pt idx="224">
                  <c:v>3.24</c:v>
                </c:pt>
                <c:pt idx="225">
                  <c:v>3.25</c:v>
                </c:pt>
                <c:pt idx="226">
                  <c:v>3.26</c:v>
                </c:pt>
                <c:pt idx="227">
                  <c:v>3.27</c:v>
                </c:pt>
                <c:pt idx="228">
                  <c:v>3.28</c:v>
                </c:pt>
                <c:pt idx="229">
                  <c:v>3.29</c:v>
                </c:pt>
                <c:pt idx="230">
                  <c:v>3.3</c:v>
                </c:pt>
                <c:pt idx="231">
                  <c:v>3.31</c:v>
                </c:pt>
                <c:pt idx="232">
                  <c:v>3.32</c:v>
                </c:pt>
                <c:pt idx="233">
                  <c:v>3.33</c:v>
                </c:pt>
                <c:pt idx="234">
                  <c:v>3.34</c:v>
                </c:pt>
                <c:pt idx="235">
                  <c:v>3.35</c:v>
                </c:pt>
                <c:pt idx="236">
                  <c:v>3.36</c:v>
                </c:pt>
                <c:pt idx="237">
                  <c:v>3.37</c:v>
                </c:pt>
                <c:pt idx="238">
                  <c:v>3.38</c:v>
                </c:pt>
                <c:pt idx="239">
                  <c:v>3.39</c:v>
                </c:pt>
                <c:pt idx="240">
                  <c:v>3.4</c:v>
                </c:pt>
                <c:pt idx="241">
                  <c:v>3.41</c:v>
                </c:pt>
                <c:pt idx="242">
                  <c:v>3.42</c:v>
                </c:pt>
                <c:pt idx="243">
                  <c:v>3.43</c:v>
                </c:pt>
                <c:pt idx="244">
                  <c:v>3.44</c:v>
                </c:pt>
                <c:pt idx="245">
                  <c:v>3.45</c:v>
                </c:pt>
                <c:pt idx="246">
                  <c:v>3.46</c:v>
                </c:pt>
                <c:pt idx="247">
                  <c:v>3.47</c:v>
                </c:pt>
                <c:pt idx="248">
                  <c:v>3.48</c:v>
                </c:pt>
                <c:pt idx="249">
                  <c:v>3.49</c:v>
                </c:pt>
                <c:pt idx="250">
                  <c:v>3.5</c:v>
                </c:pt>
                <c:pt idx="251">
                  <c:v>3.51</c:v>
                </c:pt>
                <c:pt idx="252">
                  <c:v>3.52</c:v>
                </c:pt>
                <c:pt idx="253">
                  <c:v>3.53</c:v>
                </c:pt>
                <c:pt idx="254">
                  <c:v>3.54</c:v>
                </c:pt>
                <c:pt idx="255">
                  <c:v>3.55</c:v>
                </c:pt>
                <c:pt idx="256">
                  <c:v>3.56</c:v>
                </c:pt>
                <c:pt idx="257">
                  <c:v>3.57</c:v>
                </c:pt>
                <c:pt idx="258">
                  <c:v>3.58</c:v>
                </c:pt>
                <c:pt idx="259">
                  <c:v>3.59</c:v>
                </c:pt>
                <c:pt idx="260">
                  <c:v>3.6</c:v>
                </c:pt>
                <c:pt idx="261">
                  <c:v>3.61</c:v>
                </c:pt>
                <c:pt idx="262">
                  <c:v>3.62</c:v>
                </c:pt>
                <c:pt idx="263">
                  <c:v>3.63</c:v>
                </c:pt>
                <c:pt idx="264">
                  <c:v>3.64</c:v>
                </c:pt>
                <c:pt idx="265">
                  <c:v>3.65</c:v>
                </c:pt>
                <c:pt idx="266">
                  <c:v>3.66</c:v>
                </c:pt>
                <c:pt idx="267">
                  <c:v>3.67</c:v>
                </c:pt>
                <c:pt idx="268">
                  <c:v>3.68</c:v>
                </c:pt>
                <c:pt idx="269">
                  <c:v>3.69</c:v>
                </c:pt>
                <c:pt idx="270">
                  <c:v>3.7</c:v>
                </c:pt>
                <c:pt idx="271">
                  <c:v>3.71</c:v>
                </c:pt>
                <c:pt idx="272">
                  <c:v>3.72</c:v>
                </c:pt>
                <c:pt idx="273">
                  <c:v>3.73</c:v>
                </c:pt>
                <c:pt idx="274">
                  <c:v>3.74</c:v>
                </c:pt>
                <c:pt idx="275">
                  <c:v>3.75</c:v>
                </c:pt>
                <c:pt idx="276">
                  <c:v>3.76</c:v>
                </c:pt>
                <c:pt idx="277">
                  <c:v>3.77</c:v>
                </c:pt>
                <c:pt idx="278">
                  <c:v>3.78</c:v>
                </c:pt>
                <c:pt idx="279">
                  <c:v>3.79</c:v>
                </c:pt>
                <c:pt idx="280">
                  <c:v>3.8</c:v>
                </c:pt>
                <c:pt idx="281">
                  <c:v>3.81</c:v>
                </c:pt>
                <c:pt idx="282">
                  <c:v>3.82</c:v>
                </c:pt>
                <c:pt idx="283">
                  <c:v>3.83</c:v>
                </c:pt>
                <c:pt idx="284">
                  <c:v>3.84</c:v>
                </c:pt>
                <c:pt idx="285">
                  <c:v>3.85</c:v>
                </c:pt>
                <c:pt idx="286">
                  <c:v>3.86</c:v>
                </c:pt>
                <c:pt idx="287">
                  <c:v>3.87</c:v>
                </c:pt>
                <c:pt idx="288">
                  <c:v>3.88</c:v>
                </c:pt>
                <c:pt idx="289">
                  <c:v>3.89</c:v>
                </c:pt>
                <c:pt idx="290">
                  <c:v>3.9</c:v>
                </c:pt>
                <c:pt idx="291">
                  <c:v>3.91</c:v>
                </c:pt>
                <c:pt idx="292">
                  <c:v>3.92</c:v>
                </c:pt>
                <c:pt idx="293">
                  <c:v>3.93</c:v>
                </c:pt>
                <c:pt idx="294">
                  <c:v>3.94</c:v>
                </c:pt>
                <c:pt idx="295">
                  <c:v>3.95</c:v>
                </c:pt>
                <c:pt idx="296">
                  <c:v>3.96</c:v>
                </c:pt>
                <c:pt idx="297">
                  <c:v>3.97</c:v>
                </c:pt>
                <c:pt idx="298">
                  <c:v>3.98</c:v>
                </c:pt>
                <c:pt idx="299">
                  <c:v>3.99</c:v>
                </c:pt>
                <c:pt idx="300">
                  <c:v>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164-467B-9B84-AECE61F44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增伤乘区!$C$1</c:f>
              <c:strCache>
                <c:ptCount val="1"/>
                <c:pt idx="0">
                  <c:v>每+1%边际收益</c:v>
                </c:pt>
              </c:strCache>
            </c:strRef>
          </c:tx>
          <c:spPr>
            <a:ln w="22000">
              <a:solidFill>
                <a:srgbClr val="2A9D8F"/>
              </a:solidFill>
              <a:prstDash val="solid"/>
            </a:ln>
          </c:spPr>
          <c:marker>
            <c:symbol val="none"/>
          </c:marker>
          <c:cat>
            <c:numRef>
              <c:f>增伤乘区!$A$2:$A$302</c:f>
              <c:numCache>
                <c:formatCode>General</c:formatCode>
                <c:ptCount val="3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</c:numCache>
            </c:numRef>
          </c:cat>
          <c:val>
            <c:numRef>
              <c:f>增伤乘区!$C$2:$C$302</c:f>
              <c:numCache>
                <c:formatCode>0.00%</c:formatCode>
                <c:ptCount val="301"/>
                <c:pt idx="0">
                  <c:v>1.0000000000000009E-2</c:v>
                </c:pt>
                <c:pt idx="1">
                  <c:v>9.9009900990099098E-3</c:v>
                </c:pt>
                <c:pt idx="2">
                  <c:v>9.8039215686274161E-3</c:v>
                </c:pt>
                <c:pt idx="3">
                  <c:v>9.7087378640776656E-3</c:v>
                </c:pt>
                <c:pt idx="4">
                  <c:v>9.6153846153845812E-3</c:v>
                </c:pt>
                <c:pt idx="5">
                  <c:v>9.52380952380949E-3</c:v>
                </c:pt>
                <c:pt idx="6">
                  <c:v>9.4339622641510523E-3</c:v>
                </c:pt>
                <c:pt idx="7">
                  <c:v>9.3457943925234765E-3</c:v>
                </c:pt>
                <c:pt idx="8">
                  <c:v>9.2592592592593004E-3</c:v>
                </c:pt>
                <c:pt idx="9">
                  <c:v>9.1743119266054496E-3</c:v>
                </c:pt>
                <c:pt idx="10">
                  <c:v>9.0909090909090384E-3</c:v>
                </c:pt>
                <c:pt idx="11">
                  <c:v>9.009009009008917E-3</c:v>
                </c:pt>
                <c:pt idx="12">
                  <c:v>8.9285714285711748E-3</c:v>
                </c:pt>
                <c:pt idx="13">
                  <c:v>8.8495575221241296E-3</c:v>
                </c:pt>
                <c:pt idx="14">
                  <c:v>8.7719298245612087E-3</c:v>
                </c:pt>
                <c:pt idx="15">
                  <c:v>8.6956521739129933E-3</c:v>
                </c:pt>
                <c:pt idx="16">
                  <c:v>8.6206896551723755E-3</c:v>
                </c:pt>
                <c:pt idx="17">
                  <c:v>8.5470085470085166E-3</c:v>
                </c:pt>
                <c:pt idx="18">
                  <c:v>8.4745762711864181E-3</c:v>
                </c:pt>
                <c:pt idx="19">
                  <c:v>8.4033613445377853E-3</c:v>
                </c:pt>
                <c:pt idx="20">
                  <c:v>8.3333333333333037E-3</c:v>
                </c:pt>
                <c:pt idx="21">
                  <c:v>8.2644628099173278E-3</c:v>
                </c:pt>
                <c:pt idx="22">
                  <c:v>8.1967213114753079E-3</c:v>
                </c:pt>
                <c:pt idx="23">
                  <c:v>8.1300813008129413E-3</c:v>
                </c:pt>
                <c:pt idx="24">
                  <c:v>8.0645161290322509E-3</c:v>
                </c:pt>
                <c:pt idx="25">
                  <c:v>8.0000000000000071E-3</c:v>
                </c:pt>
                <c:pt idx="26">
                  <c:v>7.9365079365079083E-3</c:v>
                </c:pt>
                <c:pt idx="27">
                  <c:v>7.8740157480314821E-3</c:v>
                </c:pt>
                <c:pt idx="28">
                  <c:v>7.8125E-3</c:v>
                </c:pt>
                <c:pt idx="29">
                  <c:v>7.7519379844961378E-3</c:v>
                </c:pt>
                <c:pt idx="30">
                  <c:v>7.692307692307665E-3</c:v>
                </c:pt>
                <c:pt idx="31">
                  <c:v>7.6335877862594437E-3</c:v>
                </c:pt>
                <c:pt idx="32">
                  <c:v>7.575757575757569E-3</c:v>
                </c:pt>
                <c:pt idx="33">
                  <c:v>7.5187969924812581E-3</c:v>
                </c:pt>
                <c:pt idx="34">
                  <c:v>7.4626865671640896E-3</c:v>
                </c:pt>
                <c:pt idx="35">
                  <c:v>7.4074074074073071E-3</c:v>
                </c:pt>
                <c:pt idx="36">
                  <c:v>7.3529411764707842E-3</c:v>
                </c:pt>
                <c:pt idx="37">
                  <c:v>7.2992700729925808E-3</c:v>
                </c:pt>
                <c:pt idx="38">
                  <c:v>7.2463768115944571E-3</c:v>
                </c:pt>
                <c:pt idx="39">
                  <c:v>7.194244604316502E-3</c:v>
                </c:pt>
                <c:pt idx="40">
                  <c:v>7.1428571428571175E-3</c:v>
                </c:pt>
                <c:pt idx="41">
                  <c:v>7.0921985815601829E-3</c:v>
                </c:pt>
                <c:pt idx="42">
                  <c:v>7.0422535211267512E-3</c:v>
                </c:pt>
                <c:pt idx="43">
                  <c:v>6.9930069930070893E-3</c:v>
                </c:pt>
                <c:pt idx="44">
                  <c:v>6.9444444444444198E-3</c:v>
                </c:pt>
                <c:pt idx="45">
                  <c:v>6.8965517241379448E-3</c:v>
                </c:pt>
                <c:pt idx="46">
                  <c:v>6.8493150684931781E-3</c:v>
                </c:pt>
                <c:pt idx="47">
                  <c:v>6.8027210884353817E-3</c:v>
                </c:pt>
                <c:pt idx="48">
                  <c:v>6.7567567567567988E-3</c:v>
                </c:pt>
                <c:pt idx="49">
                  <c:v>6.7114093959732557E-3</c:v>
                </c:pt>
                <c:pt idx="50">
                  <c:v>6.6666666666665986E-3</c:v>
                </c:pt>
                <c:pt idx="51">
                  <c:v>6.6225165562914245E-3</c:v>
                </c:pt>
                <c:pt idx="52">
                  <c:v>6.5789473684210176E-3</c:v>
                </c:pt>
                <c:pt idx="53">
                  <c:v>6.5359477124182774E-3</c:v>
                </c:pt>
                <c:pt idx="54">
                  <c:v>6.4935064935065512E-3</c:v>
                </c:pt>
                <c:pt idx="55">
                  <c:v>6.4516129032257119E-3</c:v>
                </c:pt>
                <c:pt idx="56">
                  <c:v>6.4102564102561654E-3</c:v>
                </c:pt>
                <c:pt idx="57">
                  <c:v>6.3694267515925773E-3</c:v>
                </c:pt>
                <c:pt idx="58">
                  <c:v>6.3291139240504446E-3</c:v>
                </c:pt>
                <c:pt idx="59">
                  <c:v>6.2893081761008496E-3</c:v>
                </c:pt>
                <c:pt idx="60">
                  <c:v>6.2499999999998668E-3</c:v>
                </c:pt>
                <c:pt idx="61">
                  <c:v>6.2111801242237252E-3</c:v>
                </c:pt>
                <c:pt idx="62">
                  <c:v>6.1728395061726449E-3</c:v>
                </c:pt>
                <c:pt idx="63">
                  <c:v>6.1349693251535609E-3</c:v>
                </c:pt>
                <c:pt idx="64">
                  <c:v>6.0975609756095395E-3</c:v>
                </c:pt>
                <c:pt idx="65">
                  <c:v>6.0606060606060996E-3</c:v>
                </c:pt>
                <c:pt idx="66">
                  <c:v>6.0240963855420215E-3</c:v>
                </c:pt>
                <c:pt idx="67">
                  <c:v>5.9880239520959666E-3</c:v>
                </c:pt>
                <c:pt idx="68">
                  <c:v>5.9523809523809312E-3</c:v>
                </c:pt>
                <c:pt idx="69">
                  <c:v>5.9171597633136397E-3</c:v>
                </c:pt>
                <c:pt idx="70">
                  <c:v>5.8823529411764497E-3</c:v>
                </c:pt>
                <c:pt idx="71">
                  <c:v>5.8479532163742132E-3</c:v>
                </c:pt>
                <c:pt idx="72">
                  <c:v>5.8139534883721034E-3</c:v>
                </c:pt>
                <c:pt idx="73">
                  <c:v>5.7803468208093012E-3</c:v>
                </c:pt>
                <c:pt idx="74">
                  <c:v>5.7471264367816577E-3</c:v>
                </c:pt>
                <c:pt idx="75">
                  <c:v>5.7142857142857828E-3</c:v>
                </c:pt>
                <c:pt idx="76">
                  <c:v>5.6818181818181213E-3</c:v>
                </c:pt>
                <c:pt idx="77">
                  <c:v>5.6497175141243527E-3</c:v>
                </c:pt>
                <c:pt idx="78">
                  <c:v>5.6179775280897903E-3</c:v>
                </c:pt>
                <c:pt idx="79">
                  <c:v>5.5865921787709993E-3</c:v>
                </c:pt>
                <c:pt idx="80">
                  <c:v>5.5555555555555358E-3</c:v>
                </c:pt>
                <c:pt idx="81">
                  <c:v>5.5248618784529135E-3</c:v>
                </c:pt>
                <c:pt idx="82">
                  <c:v>5.494505494505697E-3</c:v>
                </c:pt>
                <c:pt idx="83">
                  <c:v>5.4644808743167239E-3</c:v>
                </c:pt>
                <c:pt idx="84">
                  <c:v>5.4347826086957873E-3</c:v>
                </c:pt>
                <c:pt idx="85">
                  <c:v>5.4054054054053502E-3</c:v>
                </c:pt>
                <c:pt idx="86">
                  <c:v>5.3763440860217226E-3</c:v>
                </c:pt>
                <c:pt idx="87">
                  <c:v>5.3475935828874999E-3</c:v>
                </c:pt>
                <c:pt idx="88">
                  <c:v>5.3191489361703592E-3</c:v>
                </c:pt>
                <c:pt idx="89">
                  <c:v>5.2910052910051242E-3</c:v>
                </c:pt>
                <c:pt idx="90">
                  <c:v>5.2631578947368585E-3</c:v>
                </c:pt>
                <c:pt idx="91">
                  <c:v>5.2356020942407877E-3</c:v>
                </c:pt>
                <c:pt idx="92">
                  <c:v>5.2083333333334814E-3</c:v>
                </c:pt>
                <c:pt idx="93">
                  <c:v>5.1813471502588637E-3</c:v>
                </c:pt>
                <c:pt idx="94">
                  <c:v>5.1546391752577136E-3</c:v>
                </c:pt>
                <c:pt idx="95">
                  <c:v>5.12820512820511E-3</c:v>
                </c:pt>
                <c:pt idx="96">
                  <c:v>5.1020408163264808E-3</c:v>
                </c:pt>
                <c:pt idx="97">
                  <c:v>5.0761421319795996E-3</c:v>
                </c:pt>
                <c:pt idx="98">
                  <c:v>5.050505050504972E-3</c:v>
                </c:pt>
                <c:pt idx="99">
                  <c:v>5.0251256281406143E-3</c:v>
                </c:pt>
                <c:pt idx="100">
                  <c:v>4.9999999999998934E-3</c:v>
                </c:pt>
                <c:pt idx="101">
                  <c:v>4.9751243781095411E-3</c:v>
                </c:pt>
                <c:pt idx="102">
                  <c:v>4.9504950495049549E-3</c:v>
                </c:pt>
                <c:pt idx="103">
                  <c:v>4.9261083743841194E-3</c:v>
                </c:pt>
                <c:pt idx="104">
                  <c:v>4.9019607843137081E-3</c:v>
                </c:pt>
                <c:pt idx="105">
                  <c:v>4.8780487804878092E-3</c:v>
                </c:pt>
                <c:pt idx="106">
                  <c:v>4.8543689320390548E-3</c:v>
                </c:pt>
                <c:pt idx="107">
                  <c:v>4.8309178743959347E-3</c:v>
                </c:pt>
                <c:pt idx="108">
                  <c:v>4.8076923076922906E-3</c:v>
                </c:pt>
                <c:pt idx="109">
                  <c:v>4.784688995215447E-3</c:v>
                </c:pt>
                <c:pt idx="110">
                  <c:v>4.761904761904967E-3</c:v>
                </c:pt>
                <c:pt idx="111">
                  <c:v>4.7393364928909332E-3</c:v>
                </c:pt>
                <c:pt idx="112">
                  <c:v>4.7169811320753041E-3</c:v>
                </c:pt>
                <c:pt idx="113">
                  <c:v>4.6948356807510194E-3</c:v>
                </c:pt>
                <c:pt idx="114">
                  <c:v>4.6728971962617383E-3</c:v>
                </c:pt>
                <c:pt idx="115">
                  <c:v>4.6511627906977715E-3</c:v>
                </c:pt>
                <c:pt idx="116">
                  <c:v>4.6296296296295392E-3</c:v>
                </c:pt>
                <c:pt idx="117">
                  <c:v>4.6082949308754451E-3</c:v>
                </c:pt>
                <c:pt idx="118">
                  <c:v>4.5871559633028358E-3</c:v>
                </c:pt>
                <c:pt idx="119">
                  <c:v>4.5662100456622667E-3</c:v>
                </c:pt>
                <c:pt idx="120">
                  <c:v>4.5454545454544082E-3</c:v>
                </c:pt>
                <c:pt idx="121">
                  <c:v>4.5248868778280382E-3</c:v>
                </c:pt>
                <c:pt idx="122">
                  <c:v>4.5045045045046805E-3</c:v>
                </c:pt>
                <c:pt idx="123">
                  <c:v>4.484304932735439E-3</c:v>
                </c:pt>
                <c:pt idx="124">
                  <c:v>4.4642857142855874E-3</c:v>
                </c:pt>
                <c:pt idx="125">
                  <c:v>4.444444444444251E-3</c:v>
                </c:pt>
                <c:pt idx="126">
                  <c:v>4.4247787610620648E-3</c:v>
                </c:pt>
                <c:pt idx="127">
                  <c:v>4.405286343612369E-3</c:v>
                </c:pt>
                <c:pt idx="128">
                  <c:v>4.3859649122806044E-3</c:v>
                </c:pt>
                <c:pt idx="129">
                  <c:v>4.366812227074135E-3</c:v>
                </c:pt>
                <c:pt idx="130">
                  <c:v>4.3478260869567187E-3</c:v>
                </c:pt>
                <c:pt idx="131">
                  <c:v>4.3290043290045155E-3</c:v>
                </c:pt>
                <c:pt idx="132">
                  <c:v>4.3103448275860767E-3</c:v>
                </c:pt>
                <c:pt idx="133">
                  <c:v>4.2918454935620964E-3</c:v>
                </c:pt>
                <c:pt idx="134">
                  <c:v>4.2735042735044804E-3</c:v>
                </c:pt>
                <c:pt idx="135">
                  <c:v>4.2553191489362874E-3</c:v>
                </c:pt>
                <c:pt idx="136">
                  <c:v>4.237288135593209E-3</c:v>
                </c:pt>
                <c:pt idx="137">
                  <c:v>4.2194092827003704E-3</c:v>
                </c:pt>
                <c:pt idx="138">
                  <c:v>4.2016806722688926E-3</c:v>
                </c:pt>
                <c:pt idx="139">
                  <c:v>4.1841004184102193E-3</c:v>
                </c:pt>
                <c:pt idx="140">
                  <c:v>4.1666666666668739E-3</c:v>
                </c:pt>
                <c:pt idx="141">
                  <c:v>4.1493775933609811E-3</c:v>
                </c:pt>
                <c:pt idx="142">
                  <c:v>4.1322314049585529E-3</c:v>
                </c:pt>
                <c:pt idx="143">
                  <c:v>4.115226337448652E-3</c:v>
                </c:pt>
                <c:pt idx="144">
                  <c:v>4.098360655737876E-3</c:v>
                </c:pt>
                <c:pt idx="145">
                  <c:v>4.0816326530610514E-3</c:v>
                </c:pt>
                <c:pt idx="146">
                  <c:v>4.0650406504063596E-3</c:v>
                </c:pt>
                <c:pt idx="147">
                  <c:v>4.0485829959515662E-3</c:v>
                </c:pt>
                <c:pt idx="148">
                  <c:v>4.0322580645162365E-3</c:v>
                </c:pt>
                <c:pt idx="149">
                  <c:v>4.0160642570279403E-3</c:v>
                </c:pt>
                <c:pt idx="150">
                  <c:v>4.0000000000000036E-3</c:v>
                </c:pt>
                <c:pt idx="151">
                  <c:v>3.9840637450199168E-3</c:v>
                </c:pt>
                <c:pt idx="152">
                  <c:v>3.9682539682539542E-3</c:v>
                </c:pt>
                <c:pt idx="153">
                  <c:v>3.9525691699604515E-3</c:v>
                </c:pt>
                <c:pt idx="154">
                  <c:v>3.937007874015741E-3</c:v>
                </c:pt>
                <c:pt idx="155">
                  <c:v>3.9215686274509665E-3</c:v>
                </c:pt>
                <c:pt idx="156">
                  <c:v>3.90625E-3</c:v>
                </c:pt>
                <c:pt idx="157">
                  <c:v>3.8910505836575737E-3</c:v>
                </c:pt>
                <c:pt idx="158">
                  <c:v>3.8759689922480689E-3</c:v>
                </c:pt>
                <c:pt idx="159">
                  <c:v>3.8610038610038533E-3</c:v>
                </c:pt>
                <c:pt idx="160">
                  <c:v>3.8461538461538325E-3</c:v>
                </c:pt>
                <c:pt idx="161">
                  <c:v>3.8314176245208831E-3</c:v>
                </c:pt>
                <c:pt idx="162">
                  <c:v>3.8167938931297218E-3</c:v>
                </c:pt>
                <c:pt idx="163">
                  <c:v>3.8022813688212143E-3</c:v>
                </c:pt>
                <c:pt idx="164">
                  <c:v>3.7878787878788955E-3</c:v>
                </c:pt>
                <c:pt idx="165">
                  <c:v>3.7735849056603765E-3</c:v>
                </c:pt>
                <c:pt idx="166">
                  <c:v>3.759398496240518E-3</c:v>
                </c:pt>
                <c:pt idx="167">
                  <c:v>3.7453183520599342E-3</c:v>
                </c:pt>
                <c:pt idx="168">
                  <c:v>3.7313432835821558E-3</c:v>
                </c:pt>
                <c:pt idx="169">
                  <c:v>3.7174721189592308E-3</c:v>
                </c:pt>
                <c:pt idx="170">
                  <c:v>3.7037037037035425E-3</c:v>
                </c:pt>
                <c:pt idx="171">
                  <c:v>3.6900369003689537E-3</c:v>
                </c:pt>
                <c:pt idx="172">
                  <c:v>3.6764705882352811E-3</c:v>
                </c:pt>
                <c:pt idx="173">
                  <c:v>3.66300366300365E-3</c:v>
                </c:pt>
                <c:pt idx="174">
                  <c:v>3.6496350364962904E-3</c:v>
                </c:pt>
                <c:pt idx="175">
                  <c:v>3.6363636363636598E-3</c:v>
                </c:pt>
                <c:pt idx="176">
                  <c:v>3.6231884057971175E-3</c:v>
                </c:pt>
                <c:pt idx="177">
                  <c:v>3.6101083032491488E-3</c:v>
                </c:pt>
                <c:pt idx="178">
                  <c:v>3.597122302158251E-3</c:v>
                </c:pt>
                <c:pt idx="179">
                  <c:v>3.5842293906809264E-3</c:v>
                </c:pt>
                <c:pt idx="180">
                  <c:v>3.5714285714285587E-3</c:v>
                </c:pt>
                <c:pt idx="181">
                  <c:v>3.558718861210064E-3</c:v>
                </c:pt>
                <c:pt idx="182">
                  <c:v>3.5460992907800915E-3</c:v>
                </c:pt>
                <c:pt idx="183">
                  <c:v>3.5335689045936647E-3</c:v>
                </c:pt>
                <c:pt idx="184">
                  <c:v>3.5211267605634866E-3</c:v>
                </c:pt>
                <c:pt idx="185">
                  <c:v>3.5087719298245723E-3</c:v>
                </c:pt>
                <c:pt idx="186">
                  <c:v>3.4965034965033226E-3</c:v>
                </c:pt>
                <c:pt idx="187">
                  <c:v>3.4843205574912606E-3</c:v>
                </c:pt>
                <c:pt idx="188">
                  <c:v>3.4722222222220989E-3</c:v>
                </c:pt>
                <c:pt idx="189">
                  <c:v>3.4602076124568004E-3</c:v>
                </c:pt>
                <c:pt idx="190">
                  <c:v>3.4482758620690834E-3</c:v>
                </c:pt>
                <c:pt idx="191">
                  <c:v>3.4364261168384758E-3</c:v>
                </c:pt>
                <c:pt idx="192">
                  <c:v>3.424657534246478E-3</c:v>
                </c:pt>
                <c:pt idx="193">
                  <c:v>3.4129692832765013E-3</c:v>
                </c:pt>
                <c:pt idx="194">
                  <c:v>3.4013605442178019E-3</c:v>
                </c:pt>
                <c:pt idx="195">
                  <c:v>3.3898305084745228E-3</c:v>
                </c:pt>
                <c:pt idx="196">
                  <c:v>3.3783783783782884E-3</c:v>
                </c:pt>
                <c:pt idx="197">
                  <c:v>3.3670033670034627E-3</c:v>
                </c:pt>
                <c:pt idx="198">
                  <c:v>3.3557046979866278E-3</c:v>
                </c:pt>
                <c:pt idx="199">
                  <c:v>3.3444816053511683E-3</c:v>
                </c:pt>
                <c:pt idx="200">
                  <c:v>3.3333333333331883E-3</c:v>
                </c:pt>
                <c:pt idx="201">
                  <c:v>3.3222591362127574E-3</c:v>
                </c:pt>
                <c:pt idx="202">
                  <c:v>3.3112582781456013E-3</c:v>
                </c:pt>
                <c:pt idx="203">
                  <c:v>3.3003300330034513E-3</c:v>
                </c:pt>
                <c:pt idx="204">
                  <c:v>3.2894736842103978E-3</c:v>
                </c:pt>
                <c:pt idx="205">
                  <c:v>3.2786885245903452E-3</c:v>
                </c:pt>
                <c:pt idx="206">
                  <c:v>3.2679738562091387E-3</c:v>
                </c:pt>
                <c:pt idx="207">
                  <c:v>3.2573289902280145E-3</c:v>
                </c:pt>
                <c:pt idx="208">
                  <c:v>3.2467532467532756E-3</c:v>
                </c:pt>
                <c:pt idx="209">
                  <c:v>3.2362459546926292E-3</c:v>
                </c:pt>
                <c:pt idx="210">
                  <c:v>3.225806451612856E-3</c:v>
                </c:pt>
                <c:pt idx="211">
                  <c:v>3.215434083601254E-3</c:v>
                </c:pt>
                <c:pt idx="212">
                  <c:v>3.2051282051281937E-3</c:v>
                </c:pt>
                <c:pt idx="213">
                  <c:v>3.1948881789138905E-3</c:v>
                </c:pt>
                <c:pt idx="214">
                  <c:v>3.1847133757960666E-3</c:v>
                </c:pt>
                <c:pt idx="215">
                  <c:v>3.1746031746031633E-3</c:v>
                </c:pt>
                <c:pt idx="216">
                  <c:v>3.1645569620253333E-3</c:v>
                </c:pt>
                <c:pt idx="217">
                  <c:v>3.154574132492094E-3</c:v>
                </c:pt>
                <c:pt idx="218">
                  <c:v>3.1446540880502027E-3</c:v>
                </c:pt>
                <c:pt idx="219">
                  <c:v>3.1347962382446415E-3</c:v>
                </c:pt>
                <c:pt idx="220">
                  <c:v>3.1249999999998224E-3</c:v>
                </c:pt>
                <c:pt idx="221">
                  <c:v>3.1152647975078995E-3</c:v>
                </c:pt>
                <c:pt idx="222">
                  <c:v>3.1055900621117516E-3</c:v>
                </c:pt>
                <c:pt idx="223">
                  <c:v>3.0959752321981782E-3</c:v>
                </c:pt>
                <c:pt idx="224">
                  <c:v>3.0864197530864335E-3</c:v>
                </c:pt>
                <c:pt idx="225">
                  <c:v>3.0769230769229772E-3</c:v>
                </c:pt>
                <c:pt idx="226">
                  <c:v>3.0674846625766694E-3</c:v>
                </c:pt>
                <c:pt idx="227">
                  <c:v>3.0581039755350758E-3</c:v>
                </c:pt>
                <c:pt idx="228">
                  <c:v>3.0487804878049918E-3</c:v>
                </c:pt>
                <c:pt idx="229">
                  <c:v>3.0395136778114118E-3</c:v>
                </c:pt>
                <c:pt idx="230">
                  <c:v>3.0303030303031608E-3</c:v>
                </c:pt>
                <c:pt idx="231">
                  <c:v>3.0211480362536403E-3</c:v>
                </c:pt>
                <c:pt idx="232">
                  <c:v>3.0120481927711218E-3</c:v>
                </c:pt>
                <c:pt idx="233">
                  <c:v>3.0030030030030463E-3</c:v>
                </c:pt>
                <c:pt idx="234">
                  <c:v>2.9940119760478723E-3</c:v>
                </c:pt>
                <c:pt idx="235">
                  <c:v>2.9850746268655914E-3</c:v>
                </c:pt>
                <c:pt idx="236">
                  <c:v>2.9761904761904656E-3</c:v>
                </c:pt>
                <c:pt idx="237">
                  <c:v>2.9673590504450953E-3</c:v>
                </c:pt>
                <c:pt idx="238">
                  <c:v>2.9585798816569309E-3</c:v>
                </c:pt>
                <c:pt idx="239">
                  <c:v>2.9498525073745618E-3</c:v>
                </c:pt>
                <c:pt idx="240">
                  <c:v>2.9411764705882248E-3</c:v>
                </c:pt>
                <c:pt idx="241">
                  <c:v>2.9325513196480912E-3</c:v>
                </c:pt>
                <c:pt idx="242">
                  <c:v>2.9239766081872176E-3</c:v>
                </c:pt>
                <c:pt idx="243">
                  <c:v>2.9154518950436081E-3</c:v>
                </c:pt>
                <c:pt idx="244">
                  <c:v>2.9069767441860517E-3</c:v>
                </c:pt>
                <c:pt idx="245">
                  <c:v>2.8985507246375164E-3</c:v>
                </c:pt>
                <c:pt idx="246">
                  <c:v>2.8901734104047616E-3</c:v>
                </c:pt>
                <c:pt idx="247">
                  <c:v>2.8818443804032867E-3</c:v>
                </c:pt>
                <c:pt idx="248">
                  <c:v>2.8735632183909399E-3</c:v>
                </c:pt>
                <c:pt idx="249">
                  <c:v>2.8653295128939771E-3</c:v>
                </c:pt>
                <c:pt idx="250">
                  <c:v>2.8571428571428914E-3</c:v>
                </c:pt>
                <c:pt idx="251">
                  <c:v>2.8490028490029129E-3</c:v>
                </c:pt>
                <c:pt idx="252">
                  <c:v>2.8409090909089496E-3</c:v>
                </c:pt>
                <c:pt idx="253">
                  <c:v>2.8328611898018607E-3</c:v>
                </c:pt>
                <c:pt idx="254">
                  <c:v>2.8248587570620654E-3</c:v>
                </c:pt>
                <c:pt idx="255">
                  <c:v>2.8169014084507005E-3</c:v>
                </c:pt>
                <c:pt idx="256">
                  <c:v>2.8089887640447841E-3</c:v>
                </c:pt>
                <c:pt idx="257">
                  <c:v>2.8011204481792618E-3</c:v>
                </c:pt>
                <c:pt idx="258">
                  <c:v>2.7932960893854997E-3</c:v>
                </c:pt>
                <c:pt idx="259">
                  <c:v>2.7855153203342198E-3</c:v>
                </c:pt>
                <c:pt idx="260">
                  <c:v>2.7777777777777679E-3</c:v>
                </c:pt>
                <c:pt idx="261">
                  <c:v>2.7700831024930483E-3</c:v>
                </c:pt>
                <c:pt idx="262">
                  <c:v>2.7624309392264568E-3</c:v>
                </c:pt>
                <c:pt idx="263">
                  <c:v>2.7548209366392573E-3</c:v>
                </c:pt>
                <c:pt idx="264">
                  <c:v>2.7472527472527375E-3</c:v>
                </c:pt>
                <c:pt idx="265">
                  <c:v>2.73972602739736E-3</c:v>
                </c:pt>
                <c:pt idx="266">
                  <c:v>2.732240437158362E-3</c:v>
                </c:pt>
                <c:pt idx="267">
                  <c:v>2.7247956403271267E-3</c:v>
                </c:pt>
                <c:pt idx="268">
                  <c:v>2.7173913043476716E-3</c:v>
                </c:pt>
                <c:pt idx="269">
                  <c:v>2.7100271002711285E-3</c:v>
                </c:pt>
                <c:pt idx="270">
                  <c:v>2.7027027027026751E-3</c:v>
                </c:pt>
                <c:pt idx="271">
                  <c:v>2.6954177897575704E-3</c:v>
                </c:pt>
                <c:pt idx="272">
                  <c:v>2.6881720430107503E-3</c:v>
                </c:pt>
                <c:pt idx="273">
                  <c:v>2.6809651474530849E-3</c:v>
                </c:pt>
                <c:pt idx="274">
                  <c:v>2.673796791443861E-3</c:v>
                </c:pt>
                <c:pt idx="275">
                  <c:v>2.666666666666595E-3</c:v>
                </c:pt>
                <c:pt idx="276">
                  <c:v>2.6595744680850686E-3</c:v>
                </c:pt>
                <c:pt idx="277">
                  <c:v>2.6525198938991412E-3</c:v>
                </c:pt>
                <c:pt idx="278">
                  <c:v>2.6455026455027841E-3</c:v>
                </c:pt>
                <c:pt idx="279">
                  <c:v>2.6385224274405594E-3</c:v>
                </c:pt>
                <c:pt idx="280">
                  <c:v>2.6315789473685403E-3</c:v>
                </c:pt>
                <c:pt idx="281">
                  <c:v>2.624671916010346E-3</c:v>
                </c:pt>
                <c:pt idx="282">
                  <c:v>2.6178010471205049E-3</c:v>
                </c:pt>
                <c:pt idx="283">
                  <c:v>2.6109660574411553E-3</c:v>
                </c:pt>
                <c:pt idx="284">
                  <c:v>2.6041666666667407E-3</c:v>
                </c:pt>
                <c:pt idx="285">
                  <c:v>2.5974025974024872E-3</c:v>
                </c:pt>
                <c:pt idx="286">
                  <c:v>2.5906735751295429E-3</c:v>
                </c:pt>
                <c:pt idx="287">
                  <c:v>2.5839793281652312E-3</c:v>
                </c:pt>
                <c:pt idx="288">
                  <c:v>2.5773195876288568E-3</c:v>
                </c:pt>
                <c:pt idx="289">
                  <c:v>2.5706940874035134E-3</c:v>
                </c:pt>
                <c:pt idx="290">
                  <c:v>2.564102564102555E-3</c:v>
                </c:pt>
                <c:pt idx="291">
                  <c:v>2.5575447570331811E-3</c:v>
                </c:pt>
                <c:pt idx="292">
                  <c:v>2.5510204081633514E-3</c:v>
                </c:pt>
                <c:pt idx="293">
                  <c:v>2.5445292620864812E-3</c:v>
                </c:pt>
                <c:pt idx="294">
                  <c:v>2.5380710659899108E-3</c:v>
                </c:pt>
                <c:pt idx="295">
                  <c:v>2.5316455696202667E-3</c:v>
                </c:pt>
                <c:pt idx="296">
                  <c:v>2.525252525252597E-3</c:v>
                </c:pt>
                <c:pt idx="297">
                  <c:v>2.5188916876572875E-3</c:v>
                </c:pt>
                <c:pt idx="298">
                  <c:v>2.5125628140703071E-3</c:v>
                </c:pt>
                <c:pt idx="299">
                  <c:v>2.5062656641603454E-3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164-467B-9B84-AECE61F444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增伤</a:t>
                </a:r>
                <a:r>
                  <a:rPr lang="en-US" altLang="zh-CN"/>
                  <a:t>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乘区系数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每</a:t>
                </a:r>
                <a:r>
                  <a:rPr lang="en-US" altLang="zh-CN"/>
                  <a:t>+1%</a:t>
                </a:r>
                <a:r>
                  <a:rPr lang="zh-CN" altLang="en-US"/>
                  <a:t>边际收益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易伤乘区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易伤乘区!$B$1</c:f>
              <c:strCache>
                <c:ptCount val="1"/>
                <c:pt idx="0">
                  <c:v>乘区系数</c:v>
                </c:pt>
              </c:strCache>
            </c:strRef>
          </c:tx>
          <c:spPr>
            <a:ln w="24000">
              <a:solidFill>
                <a:srgbClr val="E76F51"/>
              </a:solidFill>
              <a:prstDash val="solid"/>
            </a:ln>
          </c:spPr>
          <c:marker>
            <c:symbol val="none"/>
          </c:marker>
          <c:cat>
            <c:numRef>
              <c:f>易伤乘区!$A$2:$A$202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易伤乘区!$B$2:$B$202</c:f>
              <c:numCache>
                <c:formatCode>0.0000</c:formatCode>
                <c:ptCount val="201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1.1299999999999999</c:v>
                </c:pt>
                <c:pt idx="14">
                  <c:v>1.1400000000000001</c:v>
                </c:pt>
                <c:pt idx="15">
                  <c:v>1.1499999999999999</c:v>
                </c:pt>
                <c:pt idx="16">
                  <c:v>1.1599999999999999</c:v>
                </c:pt>
                <c:pt idx="17">
                  <c:v>1.17</c:v>
                </c:pt>
                <c:pt idx="18">
                  <c:v>1.18</c:v>
                </c:pt>
                <c:pt idx="19">
                  <c:v>1.19</c:v>
                </c:pt>
                <c:pt idx="20">
                  <c:v>1.2</c:v>
                </c:pt>
                <c:pt idx="21">
                  <c:v>1.21</c:v>
                </c:pt>
                <c:pt idx="22">
                  <c:v>1.22</c:v>
                </c:pt>
                <c:pt idx="23">
                  <c:v>1.23</c:v>
                </c:pt>
                <c:pt idx="24">
                  <c:v>1.24</c:v>
                </c:pt>
                <c:pt idx="25">
                  <c:v>1.25</c:v>
                </c:pt>
                <c:pt idx="26">
                  <c:v>1.26</c:v>
                </c:pt>
                <c:pt idx="27">
                  <c:v>1.27</c:v>
                </c:pt>
                <c:pt idx="28">
                  <c:v>1.28</c:v>
                </c:pt>
                <c:pt idx="29">
                  <c:v>1.29</c:v>
                </c:pt>
                <c:pt idx="30">
                  <c:v>1.3</c:v>
                </c:pt>
                <c:pt idx="31">
                  <c:v>1.31</c:v>
                </c:pt>
                <c:pt idx="32">
                  <c:v>1.32</c:v>
                </c:pt>
                <c:pt idx="33">
                  <c:v>1.33</c:v>
                </c:pt>
                <c:pt idx="34">
                  <c:v>1.34</c:v>
                </c:pt>
                <c:pt idx="35">
                  <c:v>1.35</c:v>
                </c:pt>
                <c:pt idx="36">
                  <c:v>1.3599999999999999</c:v>
                </c:pt>
                <c:pt idx="37">
                  <c:v>1.37</c:v>
                </c:pt>
                <c:pt idx="38">
                  <c:v>1.38</c:v>
                </c:pt>
                <c:pt idx="39">
                  <c:v>1.3900000000000001</c:v>
                </c:pt>
                <c:pt idx="40">
                  <c:v>1.4</c:v>
                </c:pt>
                <c:pt idx="41">
                  <c:v>1.41</c:v>
                </c:pt>
                <c:pt idx="42">
                  <c:v>1.42</c:v>
                </c:pt>
                <c:pt idx="43">
                  <c:v>1.43</c:v>
                </c:pt>
                <c:pt idx="44">
                  <c:v>1.44</c:v>
                </c:pt>
                <c:pt idx="45">
                  <c:v>1.45</c:v>
                </c:pt>
                <c:pt idx="46">
                  <c:v>1.46</c:v>
                </c:pt>
                <c:pt idx="47">
                  <c:v>1.47</c:v>
                </c:pt>
                <c:pt idx="48">
                  <c:v>1.48</c:v>
                </c:pt>
                <c:pt idx="49">
                  <c:v>1.49</c:v>
                </c:pt>
                <c:pt idx="50">
                  <c:v>1.5</c:v>
                </c:pt>
                <c:pt idx="51">
                  <c:v>1.51</c:v>
                </c:pt>
                <c:pt idx="52">
                  <c:v>1.52</c:v>
                </c:pt>
                <c:pt idx="53">
                  <c:v>1.53</c:v>
                </c:pt>
                <c:pt idx="54">
                  <c:v>1.54</c:v>
                </c:pt>
                <c:pt idx="55">
                  <c:v>1.55</c:v>
                </c:pt>
                <c:pt idx="56">
                  <c:v>1.56</c:v>
                </c:pt>
                <c:pt idx="57">
                  <c:v>1.5699999999999998</c:v>
                </c:pt>
                <c:pt idx="58">
                  <c:v>1.58</c:v>
                </c:pt>
                <c:pt idx="59">
                  <c:v>1.5899999999999999</c:v>
                </c:pt>
                <c:pt idx="60">
                  <c:v>1.6</c:v>
                </c:pt>
                <c:pt idx="61">
                  <c:v>1.6099999999999999</c:v>
                </c:pt>
                <c:pt idx="62">
                  <c:v>1.62</c:v>
                </c:pt>
                <c:pt idx="63">
                  <c:v>1.63</c:v>
                </c:pt>
                <c:pt idx="64">
                  <c:v>1.6400000000000001</c:v>
                </c:pt>
                <c:pt idx="65">
                  <c:v>1.65</c:v>
                </c:pt>
                <c:pt idx="66">
                  <c:v>1.6600000000000001</c:v>
                </c:pt>
                <c:pt idx="67">
                  <c:v>1.67</c:v>
                </c:pt>
                <c:pt idx="68">
                  <c:v>1.6800000000000002</c:v>
                </c:pt>
                <c:pt idx="69">
                  <c:v>1.69</c:v>
                </c:pt>
                <c:pt idx="70">
                  <c:v>1.7</c:v>
                </c:pt>
                <c:pt idx="71">
                  <c:v>1.71</c:v>
                </c:pt>
                <c:pt idx="72">
                  <c:v>1.72</c:v>
                </c:pt>
                <c:pt idx="73">
                  <c:v>1.73</c:v>
                </c:pt>
                <c:pt idx="74">
                  <c:v>1.74</c:v>
                </c:pt>
                <c:pt idx="75">
                  <c:v>1.75</c:v>
                </c:pt>
                <c:pt idx="76">
                  <c:v>1.76</c:v>
                </c:pt>
                <c:pt idx="77">
                  <c:v>1.77</c:v>
                </c:pt>
                <c:pt idx="78">
                  <c:v>1.78</c:v>
                </c:pt>
                <c:pt idx="79">
                  <c:v>1.79</c:v>
                </c:pt>
                <c:pt idx="80">
                  <c:v>1.8</c:v>
                </c:pt>
                <c:pt idx="81">
                  <c:v>1.81</c:v>
                </c:pt>
                <c:pt idx="82">
                  <c:v>1.8199999999999998</c:v>
                </c:pt>
                <c:pt idx="83">
                  <c:v>1.83</c:v>
                </c:pt>
                <c:pt idx="84">
                  <c:v>1.8399999999999999</c:v>
                </c:pt>
                <c:pt idx="85">
                  <c:v>1.85</c:v>
                </c:pt>
                <c:pt idx="86">
                  <c:v>1.8599999999999999</c:v>
                </c:pt>
                <c:pt idx="87">
                  <c:v>1.87</c:v>
                </c:pt>
                <c:pt idx="88">
                  <c:v>1.88</c:v>
                </c:pt>
                <c:pt idx="89">
                  <c:v>1.8900000000000001</c:v>
                </c:pt>
                <c:pt idx="90">
                  <c:v>1.9</c:v>
                </c:pt>
                <c:pt idx="91">
                  <c:v>1.9100000000000001</c:v>
                </c:pt>
                <c:pt idx="92">
                  <c:v>1.92</c:v>
                </c:pt>
                <c:pt idx="93">
                  <c:v>1.9300000000000002</c:v>
                </c:pt>
                <c:pt idx="94">
                  <c:v>1.94</c:v>
                </c:pt>
                <c:pt idx="95">
                  <c:v>1.95</c:v>
                </c:pt>
                <c:pt idx="96">
                  <c:v>1.96</c:v>
                </c:pt>
                <c:pt idx="97">
                  <c:v>1.97</c:v>
                </c:pt>
                <c:pt idx="98">
                  <c:v>1.98</c:v>
                </c:pt>
                <c:pt idx="99">
                  <c:v>1.99</c:v>
                </c:pt>
                <c:pt idx="100">
                  <c:v>2</c:v>
                </c:pt>
                <c:pt idx="101">
                  <c:v>2.0099999999999998</c:v>
                </c:pt>
                <c:pt idx="102">
                  <c:v>2.02</c:v>
                </c:pt>
                <c:pt idx="103">
                  <c:v>2.0300000000000002</c:v>
                </c:pt>
                <c:pt idx="104">
                  <c:v>2.04</c:v>
                </c:pt>
                <c:pt idx="105">
                  <c:v>2.0499999999999998</c:v>
                </c:pt>
                <c:pt idx="106">
                  <c:v>2.06</c:v>
                </c:pt>
                <c:pt idx="107">
                  <c:v>2.0700000000000003</c:v>
                </c:pt>
                <c:pt idx="108">
                  <c:v>2.08</c:v>
                </c:pt>
                <c:pt idx="109">
                  <c:v>2.09</c:v>
                </c:pt>
                <c:pt idx="110">
                  <c:v>2.1</c:v>
                </c:pt>
                <c:pt idx="111">
                  <c:v>2.1100000000000003</c:v>
                </c:pt>
                <c:pt idx="112">
                  <c:v>2.12</c:v>
                </c:pt>
                <c:pt idx="113">
                  <c:v>2.13</c:v>
                </c:pt>
                <c:pt idx="114">
                  <c:v>2.1399999999999997</c:v>
                </c:pt>
                <c:pt idx="115">
                  <c:v>2.15</c:v>
                </c:pt>
                <c:pt idx="116">
                  <c:v>2.16</c:v>
                </c:pt>
                <c:pt idx="117">
                  <c:v>2.17</c:v>
                </c:pt>
                <c:pt idx="118">
                  <c:v>2.1799999999999997</c:v>
                </c:pt>
                <c:pt idx="119">
                  <c:v>2.19</c:v>
                </c:pt>
                <c:pt idx="120">
                  <c:v>2.2000000000000002</c:v>
                </c:pt>
                <c:pt idx="121">
                  <c:v>2.21</c:v>
                </c:pt>
                <c:pt idx="122">
                  <c:v>2.2199999999999998</c:v>
                </c:pt>
                <c:pt idx="123">
                  <c:v>2.23</c:v>
                </c:pt>
                <c:pt idx="124">
                  <c:v>2.2400000000000002</c:v>
                </c:pt>
                <c:pt idx="125">
                  <c:v>2.25</c:v>
                </c:pt>
                <c:pt idx="126">
                  <c:v>2.2599999999999998</c:v>
                </c:pt>
                <c:pt idx="127">
                  <c:v>2.27</c:v>
                </c:pt>
                <c:pt idx="128">
                  <c:v>2.2800000000000002</c:v>
                </c:pt>
                <c:pt idx="129">
                  <c:v>2.29</c:v>
                </c:pt>
                <c:pt idx="130">
                  <c:v>2.2999999999999998</c:v>
                </c:pt>
                <c:pt idx="131">
                  <c:v>2.31</c:v>
                </c:pt>
                <c:pt idx="132">
                  <c:v>2.3200000000000003</c:v>
                </c:pt>
                <c:pt idx="133">
                  <c:v>2.33</c:v>
                </c:pt>
                <c:pt idx="134">
                  <c:v>2.34</c:v>
                </c:pt>
                <c:pt idx="135">
                  <c:v>2.35</c:v>
                </c:pt>
                <c:pt idx="136">
                  <c:v>2.3600000000000003</c:v>
                </c:pt>
                <c:pt idx="137">
                  <c:v>2.37</c:v>
                </c:pt>
                <c:pt idx="138">
                  <c:v>2.38</c:v>
                </c:pt>
                <c:pt idx="139">
                  <c:v>2.3899999999999997</c:v>
                </c:pt>
                <c:pt idx="140">
                  <c:v>2.4</c:v>
                </c:pt>
                <c:pt idx="141">
                  <c:v>2.41</c:v>
                </c:pt>
                <c:pt idx="142">
                  <c:v>2.42</c:v>
                </c:pt>
                <c:pt idx="143">
                  <c:v>2.4299999999999997</c:v>
                </c:pt>
                <c:pt idx="144">
                  <c:v>2.44</c:v>
                </c:pt>
                <c:pt idx="145">
                  <c:v>2.4500000000000002</c:v>
                </c:pt>
                <c:pt idx="146">
                  <c:v>2.46</c:v>
                </c:pt>
                <c:pt idx="147">
                  <c:v>2.4699999999999998</c:v>
                </c:pt>
                <c:pt idx="148">
                  <c:v>2.48</c:v>
                </c:pt>
                <c:pt idx="149">
                  <c:v>2.4900000000000002</c:v>
                </c:pt>
                <c:pt idx="150">
                  <c:v>2.5</c:v>
                </c:pt>
                <c:pt idx="151">
                  <c:v>2.5099999999999998</c:v>
                </c:pt>
                <c:pt idx="152">
                  <c:v>2.52</c:v>
                </c:pt>
                <c:pt idx="153">
                  <c:v>2.5300000000000002</c:v>
                </c:pt>
                <c:pt idx="154">
                  <c:v>2.54</c:v>
                </c:pt>
                <c:pt idx="155">
                  <c:v>2.5499999999999998</c:v>
                </c:pt>
                <c:pt idx="156">
                  <c:v>2.56</c:v>
                </c:pt>
                <c:pt idx="157">
                  <c:v>2.5700000000000003</c:v>
                </c:pt>
                <c:pt idx="158">
                  <c:v>2.58</c:v>
                </c:pt>
                <c:pt idx="159">
                  <c:v>2.59</c:v>
                </c:pt>
                <c:pt idx="160">
                  <c:v>2.6</c:v>
                </c:pt>
                <c:pt idx="161">
                  <c:v>2.6100000000000003</c:v>
                </c:pt>
                <c:pt idx="162">
                  <c:v>2.62</c:v>
                </c:pt>
                <c:pt idx="163">
                  <c:v>2.63</c:v>
                </c:pt>
                <c:pt idx="164">
                  <c:v>2.6399999999999997</c:v>
                </c:pt>
                <c:pt idx="165">
                  <c:v>2.65</c:v>
                </c:pt>
                <c:pt idx="166">
                  <c:v>2.66</c:v>
                </c:pt>
                <c:pt idx="167">
                  <c:v>2.67</c:v>
                </c:pt>
                <c:pt idx="168">
                  <c:v>2.6799999999999997</c:v>
                </c:pt>
                <c:pt idx="169">
                  <c:v>2.69</c:v>
                </c:pt>
                <c:pt idx="170">
                  <c:v>2.7</c:v>
                </c:pt>
                <c:pt idx="171">
                  <c:v>2.71</c:v>
                </c:pt>
                <c:pt idx="172">
                  <c:v>2.7199999999999998</c:v>
                </c:pt>
                <c:pt idx="173">
                  <c:v>2.73</c:v>
                </c:pt>
                <c:pt idx="174">
                  <c:v>2.74</c:v>
                </c:pt>
                <c:pt idx="175">
                  <c:v>2.75</c:v>
                </c:pt>
                <c:pt idx="176">
                  <c:v>2.76</c:v>
                </c:pt>
                <c:pt idx="177">
                  <c:v>2.77</c:v>
                </c:pt>
                <c:pt idx="178">
                  <c:v>2.7800000000000002</c:v>
                </c:pt>
                <c:pt idx="179">
                  <c:v>2.79</c:v>
                </c:pt>
                <c:pt idx="180">
                  <c:v>2.8</c:v>
                </c:pt>
                <c:pt idx="181">
                  <c:v>2.81</c:v>
                </c:pt>
                <c:pt idx="182">
                  <c:v>2.8200000000000003</c:v>
                </c:pt>
                <c:pt idx="183">
                  <c:v>2.83</c:v>
                </c:pt>
                <c:pt idx="184">
                  <c:v>2.84</c:v>
                </c:pt>
                <c:pt idx="185">
                  <c:v>2.85</c:v>
                </c:pt>
                <c:pt idx="186">
                  <c:v>2.8600000000000003</c:v>
                </c:pt>
                <c:pt idx="187">
                  <c:v>2.87</c:v>
                </c:pt>
                <c:pt idx="188">
                  <c:v>2.88</c:v>
                </c:pt>
                <c:pt idx="189">
                  <c:v>2.8899999999999997</c:v>
                </c:pt>
                <c:pt idx="190">
                  <c:v>2.9</c:v>
                </c:pt>
                <c:pt idx="191">
                  <c:v>2.91</c:v>
                </c:pt>
                <c:pt idx="192">
                  <c:v>2.92</c:v>
                </c:pt>
                <c:pt idx="193">
                  <c:v>2.9299999999999997</c:v>
                </c:pt>
                <c:pt idx="194">
                  <c:v>2.94</c:v>
                </c:pt>
                <c:pt idx="195">
                  <c:v>2.95</c:v>
                </c:pt>
                <c:pt idx="196">
                  <c:v>2.96</c:v>
                </c:pt>
                <c:pt idx="197">
                  <c:v>2.9699999999999998</c:v>
                </c:pt>
                <c:pt idx="198">
                  <c:v>2.98</c:v>
                </c:pt>
                <c:pt idx="199">
                  <c:v>2.99</c:v>
                </c:pt>
                <c:pt idx="200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AD6-49B8-A7BD-9D929D3C45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易伤乘区!$C$1</c:f>
              <c:strCache>
                <c:ptCount val="1"/>
                <c:pt idx="0">
                  <c:v>每+1%边际收益</c:v>
                </c:pt>
              </c:strCache>
            </c:strRef>
          </c:tx>
          <c:spPr>
            <a:ln w="22000">
              <a:solidFill>
                <a:srgbClr val="2A9D8F"/>
              </a:solidFill>
              <a:prstDash val="solid"/>
            </a:ln>
          </c:spPr>
          <c:marker>
            <c:symbol val="none"/>
          </c:marker>
          <c:cat>
            <c:numRef>
              <c:f>易伤乘区!$A$2:$A$202</c:f>
              <c:numCache>
                <c:formatCode>General</c:formatCode>
                <c:ptCount val="2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</c:numCache>
            </c:numRef>
          </c:cat>
          <c:val>
            <c:numRef>
              <c:f>易伤乘区!$C$2:$C$202</c:f>
              <c:numCache>
                <c:formatCode>0.00%</c:formatCode>
                <c:ptCount val="201"/>
                <c:pt idx="0">
                  <c:v>1.0000000000000009E-2</c:v>
                </c:pt>
                <c:pt idx="1">
                  <c:v>9.9009900990099098E-3</c:v>
                </c:pt>
                <c:pt idx="2">
                  <c:v>9.8039215686274161E-3</c:v>
                </c:pt>
                <c:pt idx="3">
                  <c:v>9.7087378640776656E-3</c:v>
                </c:pt>
                <c:pt idx="4">
                  <c:v>9.6153846153845812E-3</c:v>
                </c:pt>
                <c:pt idx="5">
                  <c:v>9.52380952380949E-3</c:v>
                </c:pt>
                <c:pt idx="6">
                  <c:v>9.4339622641510523E-3</c:v>
                </c:pt>
                <c:pt idx="7">
                  <c:v>9.3457943925234765E-3</c:v>
                </c:pt>
                <c:pt idx="8">
                  <c:v>9.2592592592593004E-3</c:v>
                </c:pt>
                <c:pt idx="9">
                  <c:v>9.1743119266054496E-3</c:v>
                </c:pt>
                <c:pt idx="10">
                  <c:v>9.0909090909090384E-3</c:v>
                </c:pt>
                <c:pt idx="11">
                  <c:v>9.009009009008917E-3</c:v>
                </c:pt>
                <c:pt idx="12">
                  <c:v>8.9285714285711748E-3</c:v>
                </c:pt>
                <c:pt idx="13">
                  <c:v>8.8495575221241296E-3</c:v>
                </c:pt>
                <c:pt idx="14">
                  <c:v>8.7719298245612087E-3</c:v>
                </c:pt>
                <c:pt idx="15">
                  <c:v>8.6956521739129933E-3</c:v>
                </c:pt>
                <c:pt idx="16">
                  <c:v>8.6206896551723755E-3</c:v>
                </c:pt>
                <c:pt idx="17">
                  <c:v>8.5470085470085166E-3</c:v>
                </c:pt>
                <c:pt idx="18">
                  <c:v>8.4745762711864181E-3</c:v>
                </c:pt>
                <c:pt idx="19">
                  <c:v>8.4033613445377853E-3</c:v>
                </c:pt>
                <c:pt idx="20">
                  <c:v>8.3333333333333037E-3</c:v>
                </c:pt>
                <c:pt idx="21">
                  <c:v>8.2644628099173278E-3</c:v>
                </c:pt>
                <c:pt idx="22">
                  <c:v>8.1967213114753079E-3</c:v>
                </c:pt>
                <c:pt idx="23">
                  <c:v>8.1300813008129413E-3</c:v>
                </c:pt>
                <c:pt idx="24">
                  <c:v>8.0645161290322509E-3</c:v>
                </c:pt>
                <c:pt idx="25">
                  <c:v>8.0000000000000071E-3</c:v>
                </c:pt>
                <c:pt idx="26">
                  <c:v>7.9365079365079083E-3</c:v>
                </c:pt>
                <c:pt idx="27">
                  <c:v>7.8740157480314821E-3</c:v>
                </c:pt>
                <c:pt idx="28">
                  <c:v>7.8125E-3</c:v>
                </c:pt>
                <c:pt idx="29">
                  <c:v>7.7519379844961378E-3</c:v>
                </c:pt>
                <c:pt idx="30">
                  <c:v>7.692307692307665E-3</c:v>
                </c:pt>
                <c:pt idx="31">
                  <c:v>7.6335877862594437E-3</c:v>
                </c:pt>
                <c:pt idx="32">
                  <c:v>7.575757575757569E-3</c:v>
                </c:pt>
                <c:pt idx="33">
                  <c:v>7.5187969924812581E-3</c:v>
                </c:pt>
                <c:pt idx="34">
                  <c:v>7.4626865671640896E-3</c:v>
                </c:pt>
                <c:pt idx="35">
                  <c:v>7.4074074074073071E-3</c:v>
                </c:pt>
                <c:pt idx="36">
                  <c:v>7.3529411764707842E-3</c:v>
                </c:pt>
                <c:pt idx="37">
                  <c:v>7.2992700729925808E-3</c:v>
                </c:pt>
                <c:pt idx="38">
                  <c:v>7.2463768115944571E-3</c:v>
                </c:pt>
                <c:pt idx="39">
                  <c:v>7.194244604316502E-3</c:v>
                </c:pt>
                <c:pt idx="40">
                  <c:v>7.1428571428571175E-3</c:v>
                </c:pt>
                <c:pt idx="41">
                  <c:v>7.0921985815601829E-3</c:v>
                </c:pt>
                <c:pt idx="42">
                  <c:v>7.0422535211267512E-3</c:v>
                </c:pt>
                <c:pt idx="43">
                  <c:v>6.9930069930070893E-3</c:v>
                </c:pt>
                <c:pt idx="44">
                  <c:v>6.9444444444444198E-3</c:v>
                </c:pt>
                <c:pt idx="45">
                  <c:v>6.8965517241379448E-3</c:v>
                </c:pt>
                <c:pt idx="46">
                  <c:v>6.8493150684931781E-3</c:v>
                </c:pt>
                <c:pt idx="47">
                  <c:v>6.8027210884353817E-3</c:v>
                </c:pt>
                <c:pt idx="48">
                  <c:v>6.7567567567567988E-3</c:v>
                </c:pt>
                <c:pt idx="49">
                  <c:v>6.7114093959732557E-3</c:v>
                </c:pt>
                <c:pt idx="50">
                  <c:v>6.6666666666665986E-3</c:v>
                </c:pt>
                <c:pt idx="51">
                  <c:v>6.6225165562914245E-3</c:v>
                </c:pt>
                <c:pt idx="52">
                  <c:v>6.5789473684210176E-3</c:v>
                </c:pt>
                <c:pt idx="53">
                  <c:v>6.5359477124182774E-3</c:v>
                </c:pt>
                <c:pt idx="54">
                  <c:v>6.4935064935065512E-3</c:v>
                </c:pt>
                <c:pt idx="55">
                  <c:v>6.4516129032257119E-3</c:v>
                </c:pt>
                <c:pt idx="56">
                  <c:v>6.4102564102561654E-3</c:v>
                </c:pt>
                <c:pt idx="57">
                  <c:v>6.3694267515925773E-3</c:v>
                </c:pt>
                <c:pt idx="58">
                  <c:v>6.3291139240504446E-3</c:v>
                </c:pt>
                <c:pt idx="59">
                  <c:v>6.2893081761008496E-3</c:v>
                </c:pt>
                <c:pt idx="60">
                  <c:v>6.2499999999998668E-3</c:v>
                </c:pt>
                <c:pt idx="61">
                  <c:v>6.2111801242237252E-3</c:v>
                </c:pt>
                <c:pt idx="62">
                  <c:v>6.1728395061726449E-3</c:v>
                </c:pt>
                <c:pt idx="63">
                  <c:v>6.1349693251535609E-3</c:v>
                </c:pt>
                <c:pt idx="64">
                  <c:v>6.0975609756095395E-3</c:v>
                </c:pt>
                <c:pt idx="65">
                  <c:v>6.0606060606060996E-3</c:v>
                </c:pt>
                <c:pt idx="66">
                  <c:v>6.0240963855420215E-3</c:v>
                </c:pt>
                <c:pt idx="67">
                  <c:v>5.9880239520959666E-3</c:v>
                </c:pt>
                <c:pt idx="68">
                  <c:v>5.9523809523809312E-3</c:v>
                </c:pt>
                <c:pt idx="69">
                  <c:v>5.9171597633136397E-3</c:v>
                </c:pt>
                <c:pt idx="70">
                  <c:v>5.8823529411764497E-3</c:v>
                </c:pt>
                <c:pt idx="71">
                  <c:v>5.8479532163742132E-3</c:v>
                </c:pt>
                <c:pt idx="72">
                  <c:v>5.8139534883721034E-3</c:v>
                </c:pt>
                <c:pt idx="73">
                  <c:v>5.7803468208093012E-3</c:v>
                </c:pt>
                <c:pt idx="74">
                  <c:v>5.7471264367816577E-3</c:v>
                </c:pt>
                <c:pt idx="75">
                  <c:v>5.7142857142857828E-3</c:v>
                </c:pt>
                <c:pt idx="76">
                  <c:v>5.6818181818181213E-3</c:v>
                </c:pt>
                <c:pt idx="77">
                  <c:v>5.6497175141243527E-3</c:v>
                </c:pt>
                <c:pt idx="78">
                  <c:v>5.6179775280897903E-3</c:v>
                </c:pt>
                <c:pt idx="79">
                  <c:v>5.5865921787709993E-3</c:v>
                </c:pt>
                <c:pt idx="80">
                  <c:v>5.5555555555555358E-3</c:v>
                </c:pt>
                <c:pt idx="81">
                  <c:v>5.5248618784529135E-3</c:v>
                </c:pt>
                <c:pt idx="82">
                  <c:v>5.494505494505697E-3</c:v>
                </c:pt>
                <c:pt idx="83">
                  <c:v>5.4644808743167239E-3</c:v>
                </c:pt>
                <c:pt idx="84">
                  <c:v>5.4347826086957873E-3</c:v>
                </c:pt>
                <c:pt idx="85">
                  <c:v>5.4054054054053502E-3</c:v>
                </c:pt>
                <c:pt idx="86">
                  <c:v>5.3763440860217226E-3</c:v>
                </c:pt>
                <c:pt idx="87">
                  <c:v>5.3475935828874999E-3</c:v>
                </c:pt>
                <c:pt idx="88">
                  <c:v>5.3191489361703592E-3</c:v>
                </c:pt>
                <c:pt idx="89">
                  <c:v>5.2910052910051242E-3</c:v>
                </c:pt>
                <c:pt idx="90">
                  <c:v>5.2631578947368585E-3</c:v>
                </c:pt>
                <c:pt idx="91">
                  <c:v>5.2356020942407877E-3</c:v>
                </c:pt>
                <c:pt idx="92">
                  <c:v>5.2083333333334814E-3</c:v>
                </c:pt>
                <c:pt idx="93">
                  <c:v>5.1813471502588637E-3</c:v>
                </c:pt>
                <c:pt idx="94">
                  <c:v>5.1546391752577136E-3</c:v>
                </c:pt>
                <c:pt idx="95">
                  <c:v>5.12820512820511E-3</c:v>
                </c:pt>
                <c:pt idx="96">
                  <c:v>5.1020408163264808E-3</c:v>
                </c:pt>
                <c:pt idx="97">
                  <c:v>5.0761421319795996E-3</c:v>
                </c:pt>
                <c:pt idx="98">
                  <c:v>5.050505050504972E-3</c:v>
                </c:pt>
                <c:pt idx="99">
                  <c:v>5.0251256281406143E-3</c:v>
                </c:pt>
                <c:pt idx="100">
                  <c:v>4.9999999999998934E-3</c:v>
                </c:pt>
                <c:pt idx="101">
                  <c:v>4.9751243781095411E-3</c:v>
                </c:pt>
                <c:pt idx="102">
                  <c:v>4.9504950495049549E-3</c:v>
                </c:pt>
                <c:pt idx="103">
                  <c:v>4.9261083743841194E-3</c:v>
                </c:pt>
                <c:pt idx="104">
                  <c:v>4.9019607843137081E-3</c:v>
                </c:pt>
                <c:pt idx="105">
                  <c:v>4.8780487804878092E-3</c:v>
                </c:pt>
                <c:pt idx="106">
                  <c:v>4.8543689320390548E-3</c:v>
                </c:pt>
                <c:pt idx="107">
                  <c:v>4.8309178743959347E-3</c:v>
                </c:pt>
                <c:pt idx="108">
                  <c:v>4.8076923076922906E-3</c:v>
                </c:pt>
                <c:pt idx="109">
                  <c:v>4.784688995215447E-3</c:v>
                </c:pt>
                <c:pt idx="110">
                  <c:v>4.761904761904967E-3</c:v>
                </c:pt>
                <c:pt idx="111">
                  <c:v>4.7393364928909332E-3</c:v>
                </c:pt>
                <c:pt idx="112">
                  <c:v>4.7169811320753041E-3</c:v>
                </c:pt>
                <c:pt idx="113">
                  <c:v>4.6948356807510194E-3</c:v>
                </c:pt>
                <c:pt idx="114">
                  <c:v>4.6728971962617383E-3</c:v>
                </c:pt>
                <c:pt idx="115">
                  <c:v>4.6511627906977715E-3</c:v>
                </c:pt>
                <c:pt idx="116">
                  <c:v>4.6296296296295392E-3</c:v>
                </c:pt>
                <c:pt idx="117">
                  <c:v>4.6082949308754451E-3</c:v>
                </c:pt>
                <c:pt idx="118">
                  <c:v>4.5871559633028358E-3</c:v>
                </c:pt>
                <c:pt idx="119">
                  <c:v>4.5662100456622667E-3</c:v>
                </c:pt>
                <c:pt idx="120">
                  <c:v>4.5454545454544082E-3</c:v>
                </c:pt>
                <c:pt idx="121">
                  <c:v>4.5248868778280382E-3</c:v>
                </c:pt>
                <c:pt idx="122">
                  <c:v>4.5045045045046805E-3</c:v>
                </c:pt>
                <c:pt idx="123">
                  <c:v>4.484304932735439E-3</c:v>
                </c:pt>
                <c:pt idx="124">
                  <c:v>4.4642857142855874E-3</c:v>
                </c:pt>
                <c:pt idx="125">
                  <c:v>4.444444444444251E-3</c:v>
                </c:pt>
                <c:pt idx="126">
                  <c:v>4.4247787610620648E-3</c:v>
                </c:pt>
                <c:pt idx="127">
                  <c:v>4.405286343612369E-3</c:v>
                </c:pt>
                <c:pt idx="128">
                  <c:v>4.3859649122806044E-3</c:v>
                </c:pt>
                <c:pt idx="129">
                  <c:v>4.366812227074135E-3</c:v>
                </c:pt>
                <c:pt idx="130">
                  <c:v>4.3478260869567187E-3</c:v>
                </c:pt>
                <c:pt idx="131">
                  <c:v>4.3290043290045155E-3</c:v>
                </c:pt>
                <c:pt idx="132">
                  <c:v>4.3103448275860767E-3</c:v>
                </c:pt>
                <c:pt idx="133">
                  <c:v>4.2918454935620964E-3</c:v>
                </c:pt>
                <c:pt idx="134">
                  <c:v>4.2735042735044804E-3</c:v>
                </c:pt>
                <c:pt idx="135">
                  <c:v>4.2553191489362874E-3</c:v>
                </c:pt>
                <c:pt idx="136">
                  <c:v>4.237288135593209E-3</c:v>
                </c:pt>
                <c:pt idx="137">
                  <c:v>4.2194092827003704E-3</c:v>
                </c:pt>
                <c:pt idx="138">
                  <c:v>4.2016806722688926E-3</c:v>
                </c:pt>
                <c:pt idx="139">
                  <c:v>4.1841004184102193E-3</c:v>
                </c:pt>
                <c:pt idx="140">
                  <c:v>4.1666666666668739E-3</c:v>
                </c:pt>
                <c:pt idx="141">
                  <c:v>4.1493775933609811E-3</c:v>
                </c:pt>
                <c:pt idx="142">
                  <c:v>4.1322314049585529E-3</c:v>
                </c:pt>
                <c:pt idx="143">
                  <c:v>4.115226337448652E-3</c:v>
                </c:pt>
                <c:pt idx="144">
                  <c:v>4.098360655737876E-3</c:v>
                </c:pt>
                <c:pt idx="145">
                  <c:v>4.0816326530610514E-3</c:v>
                </c:pt>
                <c:pt idx="146">
                  <c:v>4.0650406504063596E-3</c:v>
                </c:pt>
                <c:pt idx="147">
                  <c:v>4.0485829959515662E-3</c:v>
                </c:pt>
                <c:pt idx="148">
                  <c:v>4.0322580645162365E-3</c:v>
                </c:pt>
                <c:pt idx="149">
                  <c:v>4.0160642570279403E-3</c:v>
                </c:pt>
                <c:pt idx="150">
                  <c:v>4.0000000000000036E-3</c:v>
                </c:pt>
                <c:pt idx="151">
                  <c:v>3.9840637450199168E-3</c:v>
                </c:pt>
                <c:pt idx="152">
                  <c:v>3.9682539682539542E-3</c:v>
                </c:pt>
                <c:pt idx="153">
                  <c:v>3.9525691699604515E-3</c:v>
                </c:pt>
                <c:pt idx="154">
                  <c:v>3.937007874015741E-3</c:v>
                </c:pt>
                <c:pt idx="155">
                  <c:v>3.9215686274509665E-3</c:v>
                </c:pt>
                <c:pt idx="156">
                  <c:v>3.90625E-3</c:v>
                </c:pt>
                <c:pt idx="157">
                  <c:v>3.8910505836575737E-3</c:v>
                </c:pt>
                <c:pt idx="158">
                  <c:v>3.8759689922480689E-3</c:v>
                </c:pt>
                <c:pt idx="159">
                  <c:v>3.8610038610038533E-3</c:v>
                </c:pt>
                <c:pt idx="160">
                  <c:v>3.8461538461538325E-3</c:v>
                </c:pt>
                <c:pt idx="161">
                  <c:v>3.8314176245208831E-3</c:v>
                </c:pt>
                <c:pt idx="162">
                  <c:v>3.8167938931297218E-3</c:v>
                </c:pt>
                <c:pt idx="163">
                  <c:v>3.8022813688212143E-3</c:v>
                </c:pt>
                <c:pt idx="164">
                  <c:v>3.7878787878788955E-3</c:v>
                </c:pt>
                <c:pt idx="165">
                  <c:v>3.7735849056603765E-3</c:v>
                </c:pt>
                <c:pt idx="166">
                  <c:v>3.759398496240518E-3</c:v>
                </c:pt>
                <c:pt idx="167">
                  <c:v>3.7453183520599342E-3</c:v>
                </c:pt>
                <c:pt idx="168">
                  <c:v>3.7313432835821558E-3</c:v>
                </c:pt>
                <c:pt idx="169">
                  <c:v>3.7174721189592308E-3</c:v>
                </c:pt>
                <c:pt idx="170">
                  <c:v>3.7037037037035425E-3</c:v>
                </c:pt>
                <c:pt idx="171">
                  <c:v>3.6900369003689537E-3</c:v>
                </c:pt>
                <c:pt idx="172">
                  <c:v>3.6764705882352811E-3</c:v>
                </c:pt>
                <c:pt idx="173">
                  <c:v>3.66300366300365E-3</c:v>
                </c:pt>
                <c:pt idx="174">
                  <c:v>3.6496350364962904E-3</c:v>
                </c:pt>
                <c:pt idx="175">
                  <c:v>3.6363636363636598E-3</c:v>
                </c:pt>
                <c:pt idx="176">
                  <c:v>3.6231884057971175E-3</c:v>
                </c:pt>
                <c:pt idx="177">
                  <c:v>3.6101083032491488E-3</c:v>
                </c:pt>
                <c:pt idx="178">
                  <c:v>3.597122302158251E-3</c:v>
                </c:pt>
                <c:pt idx="179">
                  <c:v>3.5842293906809264E-3</c:v>
                </c:pt>
                <c:pt idx="180">
                  <c:v>3.5714285714285587E-3</c:v>
                </c:pt>
                <c:pt idx="181">
                  <c:v>3.558718861210064E-3</c:v>
                </c:pt>
                <c:pt idx="182">
                  <c:v>3.5460992907800915E-3</c:v>
                </c:pt>
                <c:pt idx="183">
                  <c:v>3.5335689045936647E-3</c:v>
                </c:pt>
                <c:pt idx="184">
                  <c:v>3.5211267605634866E-3</c:v>
                </c:pt>
                <c:pt idx="185">
                  <c:v>3.5087719298245723E-3</c:v>
                </c:pt>
                <c:pt idx="186">
                  <c:v>3.4965034965033226E-3</c:v>
                </c:pt>
                <c:pt idx="187">
                  <c:v>3.4843205574912606E-3</c:v>
                </c:pt>
                <c:pt idx="188">
                  <c:v>3.4722222222220989E-3</c:v>
                </c:pt>
                <c:pt idx="189">
                  <c:v>3.4602076124568004E-3</c:v>
                </c:pt>
                <c:pt idx="190">
                  <c:v>3.4482758620690834E-3</c:v>
                </c:pt>
                <c:pt idx="191">
                  <c:v>3.4364261168384758E-3</c:v>
                </c:pt>
                <c:pt idx="192">
                  <c:v>3.424657534246478E-3</c:v>
                </c:pt>
                <c:pt idx="193">
                  <c:v>3.4129692832765013E-3</c:v>
                </c:pt>
                <c:pt idx="194">
                  <c:v>3.4013605442178019E-3</c:v>
                </c:pt>
                <c:pt idx="195">
                  <c:v>3.3898305084745228E-3</c:v>
                </c:pt>
                <c:pt idx="196">
                  <c:v>3.3783783783782884E-3</c:v>
                </c:pt>
                <c:pt idx="197">
                  <c:v>3.3670033670034627E-3</c:v>
                </c:pt>
                <c:pt idx="198">
                  <c:v>3.3557046979866278E-3</c:v>
                </c:pt>
                <c:pt idx="199">
                  <c:v>3.3444816053511683E-3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AD6-49B8-A7BD-9D929D3C45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易伤</a:t>
                </a:r>
                <a:r>
                  <a:rPr lang="en-US" altLang="zh-CN"/>
                  <a:t>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乘区系数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每</a:t>
                </a:r>
                <a:r>
                  <a:rPr lang="en-US" altLang="zh-CN"/>
                  <a:t>+1%</a:t>
                </a:r>
                <a:r>
                  <a:rPr lang="zh-CN" altLang="en-US"/>
                  <a:t>边际收益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暴击率乘区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暴击率乘区!$B$1</c:f>
              <c:strCache>
                <c:ptCount val="1"/>
                <c:pt idx="0">
                  <c:v>乘区系数</c:v>
                </c:pt>
              </c:strCache>
            </c:strRef>
          </c:tx>
          <c:spPr>
            <a:ln w="24000">
              <a:solidFill>
                <a:srgbClr val="E76F51"/>
              </a:solidFill>
              <a:prstDash val="solid"/>
            </a:ln>
          </c:spPr>
          <c:marker>
            <c:symbol val="none"/>
          </c:marker>
          <c:cat>
            <c:numRef>
              <c:f>暴击率乘区!$A$2:$A$102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暴击率乘区!$B$2:$B$102</c:f>
              <c:numCache>
                <c:formatCode>0.0000</c:formatCode>
                <c:ptCount val="101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1.1299999999999999</c:v>
                </c:pt>
                <c:pt idx="14">
                  <c:v>1.1400000000000001</c:v>
                </c:pt>
                <c:pt idx="15">
                  <c:v>1.1499999999999999</c:v>
                </c:pt>
                <c:pt idx="16">
                  <c:v>1.1599999999999999</c:v>
                </c:pt>
                <c:pt idx="17">
                  <c:v>1.17</c:v>
                </c:pt>
                <c:pt idx="18">
                  <c:v>1.18</c:v>
                </c:pt>
                <c:pt idx="19">
                  <c:v>1.19</c:v>
                </c:pt>
                <c:pt idx="20">
                  <c:v>1.2</c:v>
                </c:pt>
                <c:pt idx="21">
                  <c:v>1.21</c:v>
                </c:pt>
                <c:pt idx="22">
                  <c:v>1.22</c:v>
                </c:pt>
                <c:pt idx="23">
                  <c:v>1.23</c:v>
                </c:pt>
                <c:pt idx="24">
                  <c:v>1.24</c:v>
                </c:pt>
                <c:pt idx="25">
                  <c:v>1.25</c:v>
                </c:pt>
                <c:pt idx="26">
                  <c:v>1.26</c:v>
                </c:pt>
                <c:pt idx="27">
                  <c:v>1.27</c:v>
                </c:pt>
                <c:pt idx="28">
                  <c:v>1.28</c:v>
                </c:pt>
                <c:pt idx="29">
                  <c:v>1.29</c:v>
                </c:pt>
                <c:pt idx="30">
                  <c:v>1.3</c:v>
                </c:pt>
                <c:pt idx="31">
                  <c:v>1.31</c:v>
                </c:pt>
                <c:pt idx="32">
                  <c:v>1.32</c:v>
                </c:pt>
                <c:pt idx="33">
                  <c:v>1.33</c:v>
                </c:pt>
                <c:pt idx="34">
                  <c:v>1.34</c:v>
                </c:pt>
                <c:pt idx="35">
                  <c:v>1.35</c:v>
                </c:pt>
                <c:pt idx="36">
                  <c:v>1.3599999999999999</c:v>
                </c:pt>
                <c:pt idx="37">
                  <c:v>1.37</c:v>
                </c:pt>
                <c:pt idx="38">
                  <c:v>1.38</c:v>
                </c:pt>
                <c:pt idx="39">
                  <c:v>1.3900000000000001</c:v>
                </c:pt>
                <c:pt idx="40">
                  <c:v>1.4</c:v>
                </c:pt>
                <c:pt idx="41">
                  <c:v>1.41</c:v>
                </c:pt>
                <c:pt idx="42">
                  <c:v>1.42</c:v>
                </c:pt>
                <c:pt idx="43">
                  <c:v>1.43</c:v>
                </c:pt>
                <c:pt idx="44">
                  <c:v>1.44</c:v>
                </c:pt>
                <c:pt idx="45">
                  <c:v>1.45</c:v>
                </c:pt>
                <c:pt idx="46">
                  <c:v>1.46</c:v>
                </c:pt>
                <c:pt idx="47">
                  <c:v>1.47</c:v>
                </c:pt>
                <c:pt idx="48">
                  <c:v>1.48</c:v>
                </c:pt>
                <c:pt idx="49">
                  <c:v>1.49</c:v>
                </c:pt>
                <c:pt idx="50">
                  <c:v>1.5</c:v>
                </c:pt>
                <c:pt idx="51">
                  <c:v>1.51</c:v>
                </c:pt>
                <c:pt idx="52">
                  <c:v>1.52</c:v>
                </c:pt>
                <c:pt idx="53">
                  <c:v>1.53</c:v>
                </c:pt>
                <c:pt idx="54">
                  <c:v>1.54</c:v>
                </c:pt>
                <c:pt idx="55">
                  <c:v>1.55</c:v>
                </c:pt>
                <c:pt idx="56">
                  <c:v>1.56</c:v>
                </c:pt>
                <c:pt idx="57">
                  <c:v>1.5699999999999998</c:v>
                </c:pt>
                <c:pt idx="58">
                  <c:v>1.58</c:v>
                </c:pt>
                <c:pt idx="59">
                  <c:v>1.5899999999999999</c:v>
                </c:pt>
                <c:pt idx="60">
                  <c:v>1.6</c:v>
                </c:pt>
                <c:pt idx="61">
                  <c:v>1.6099999999999999</c:v>
                </c:pt>
                <c:pt idx="62">
                  <c:v>1.62</c:v>
                </c:pt>
                <c:pt idx="63">
                  <c:v>1.63</c:v>
                </c:pt>
                <c:pt idx="64">
                  <c:v>1.6400000000000001</c:v>
                </c:pt>
                <c:pt idx="65">
                  <c:v>1.65</c:v>
                </c:pt>
                <c:pt idx="66">
                  <c:v>1.6600000000000001</c:v>
                </c:pt>
                <c:pt idx="67">
                  <c:v>1.67</c:v>
                </c:pt>
                <c:pt idx="68">
                  <c:v>1.6800000000000002</c:v>
                </c:pt>
                <c:pt idx="69">
                  <c:v>1.69</c:v>
                </c:pt>
                <c:pt idx="70">
                  <c:v>1.7</c:v>
                </c:pt>
                <c:pt idx="71">
                  <c:v>1.71</c:v>
                </c:pt>
                <c:pt idx="72">
                  <c:v>1.72</c:v>
                </c:pt>
                <c:pt idx="73">
                  <c:v>1.73</c:v>
                </c:pt>
                <c:pt idx="74">
                  <c:v>1.74</c:v>
                </c:pt>
                <c:pt idx="75">
                  <c:v>1.75</c:v>
                </c:pt>
                <c:pt idx="76">
                  <c:v>1.76</c:v>
                </c:pt>
                <c:pt idx="77">
                  <c:v>1.77</c:v>
                </c:pt>
                <c:pt idx="78">
                  <c:v>1.78</c:v>
                </c:pt>
                <c:pt idx="79">
                  <c:v>1.79</c:v>
                </c:pt>
                <c:pt idx="80">
                  <c:v>1.8</c:v>
                </c:pt>
                <c:pt idx="81">
                  <c:v>1.81</c:v>
                </c:pt>
                <c:pt idx="82">
                  <c:v>1.8199999999999998</c:v>
                </c:pt>
                <c:pt idx="83">
                  <c:v>1.83</c:v>
                </c:pt>
                <c:pt idx="84">
                  <c:v>1.8399999999999999</c:v>
                </c:pt>
                <c:pt idx="85">
                  <c:v>1.85</c:v>
                </c:pt>
                <c:pt idx="86">
                  <c:v>1.8599999999999999</c:v>
                </c:pt>
                <c:pt idx="87">
                  <c:v>1.87</c:v>
                </c:pt>
                <c:pt idx="88">
                  <c:v>1.88</c:v>
                </c:pt>
                <c:pt idx="89">
                  <c:v>1.8900000000000001</c:v>
                </c:pt>
                <c:pt idx="90">
                  <c:v>1.9</c:v>
                </c:pt>
                <c:pt idx="91">
                  <c:v>1.9100000000000001</c:v>
                </c:pt>
                <c:pt idx="92">
                  <c:v>1.92</c:v>
                </c:pt>
                <c:pt idx="93">
                  <c:v>1.9300000000000002</c:v>
                </c:pt>
                <c:pt idx="94">
                  <c:v>1.94</c:v>
                </c:pt>
                <c:pt idx="95">
                  <c:v>1.95</c:v>
                </c:pt>
                <c:pt idx="96">
                  <c:v>1.96</c:v>
                </c:pt>
                <c:pt idx="97">
                  <c:v>1.97</c:v>
                </c:pt>
                <c:pt idx="98">
                  <c:v>1.98</c:v>
                </c:pt>
                <c:pt idx="99">
                  <c:v>1.99</c:v>
                </c:pt>
                <c:pt idx="100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41-49E7-A932-3610A0AC0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暴击率乘区!$C$1</c:f>
              <c:strCache>
                <c:ptCount val="1"/>
                <c:pt idx="0">
                  <c:v>每+1%边际收益</c:v>
                </c:pt>
              </c:strCache>
            </c:strRef>
          </c:tx>
          <c:spPr>
            <a:ln w="22000">
              <a:solidFill>
                <a:srgbClr val="2A9D8F"/>
              </a:solidFill>
              <a:prstDash val="solid"/>
            </a:ln>
          </c:spPr>
          <c:marker>
            <c:symbol val="none"/>
          </c:marker>
          <c:cat>
            <c:numRef>
              <c:f>暴击率乘区!$A$2:$A$102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暴击率乘区!$C$2:$C$102</c:f>
              <c:numCache>
                <c:formatCode>0.00%</c:formatCode>
                <c:ptCount val="101"/>
                <c:pt idx="0">
                  <c:v>1.0000000000000009E-2</c:v>
                </c:pt>
                <c:pt idx="1">
                  <c:v>9.9009900990099098E-3</c:v>
                </c:pt>
                <c:pt idx="2">
                  <c:v>9.8039215686274161E-3</c:v>
                </c:pt>
                <c:pt idx="3">
                  <c:v>9.7087378640776656E-3</c:v>
                </c:pt>
                <c:pt idx="4">
                  <c:v>9.6153846153845812E-3</c:v>
                </c:pt>
                <c:pt idx="5">
                  <c:v>9.52380952380949E-3</c:v>
                </c:pt>
                <c:pt idx="6">
                  <c:v>9.4339622641510523E-3</c:v>
                </c:pt>
                <c:pt idx="7">
                  <c:v>9.3457943925234765E-3</c:v>
                </c:pt>
                <c:pt idx="8">
                  <c:v>9.2592592592593004E-3</c:v>
                </c:pt>
                <c:pt idx="9">
                  <c:v>9.1743119266054496E-3</c:v>
                </c:pt>
                <c:pt idx="10">
                  <c:v>9.0909090909090384E-3</c:v>
                </c:pt>
                <c:pt idx="11">
                  <c:v>9.009009009008917E-3</c:v>
                </c:pt>
                <c:pt idx="12">
                  <c:v>8.9285714285711748E-3</c:v>
                </c:pt>
                <c:pt idx="13">
                  <c:v>8.8495575221241296E-3</c:v>
                </c:pt>
                <c:pt idx="14">
                  <c:v>8.7719298245612087E-3</c:v>
                </c:pt>
                <c:pt idx="15">
                  <c:v>8.6956521739129933E-3</c:v>
                </c:pt>
                <c:pt idx="16">
                  <c:v>8.6206896551723755E-3</c:v>
                </c:pt>
                <c:pt idx="17">
                  <c:v>8.5470085470085166E-3</c:v>
                </c:pt>
                <c:pt idx="18">
                  <c:v>8.4745762711864181E-3</c:v>
                </c:pt>
                <c:pt idx="19">
                  <c:v>8.4033613445377853E-3</c:v>
                </c:pt>
                <c:pt idx="20">
                  <c:v>8.3333333333333037E-3</c:v>
                </c:pt>
                <c:pt idx="21">
                  <c:v>8.2644628099173278E-3</c:v>
                </c:pt>
                <c:pt idx="22">
                  <c:v>8.1967213114753079E-3</c:v>
                </c:pt>
                <c:pt idx="23">
                  <c:v>8.1300813008129413E-3</c:v>
                </c:pt>
                <c:pt idx="24">
                  <c:v>8.0645161290322509E-3</c:v>
                </c:pt>
                <c:pt idx="25">
                  <c:v>8.0000000000000071E-3</c:v>
                </c:pt>
                <c:pt idx="26">
                  <c:v>7.9365079365079083E-3</c:v>
                </c:pt>
                <c:pt idx="27">
                  <c:v>7.8740157480314821E-3</c:v>
                </c:pt>
                <c:pt idx="28">
                  <c:v>7.8125E-3</c:v>
                </c:pt>
                <c:pt idx="29">
                  <c:v>7.7519379844961378E-3</c:v>
                </c:pt>
                <c:pt idx="30">
                  <c:v>7.692307692307665E-3</c:v>
                </c:pt>
                <c:pt idx="31">
                  <c:v>7.6335877862594437E-3</c:v>
                </c:pt>
                <c:pt idx="32">
                  <c:v>7.575757575757569E-3</c:v>
                </c:pt>
                <c:pt idx="33">
                  <c:v>7.5187969924812581E-3</c:v>
                </c:pt>
                <c:pt idx="34">
                  <c:v>7.4626865671640896E-3</c:v>
                </c:pt>
                <c:pt idx="35">
                  <c:v>7.4074074074073071E-3</c:v>
                </c:pt>
                <c:pt idx="36">
                  <c:v>7.3529411764707842E-3</c:v>
                </c:pt>
                <c:pt idx="37">
                  <c:v>7.2992700729925808E-3</c:v>
                </c:pt>
                <c:pt idx="38">
                  <c:v>7.2463768115944571E-3</c:v>
                </c:pt>
                <c:pt idx="39">
                  <c:v>7.194244604316502E-3</c:v>
                </c:pt>
                <c:pt idx="40">
                  <c:v>7.1428571428571175E-3</c:v>
                </c:pt>
                <c:pt idx="41">
                  <c:v>7.0921985815601829E-3</c:v>
                </c:pt>
                <c:pt idx="42">
                  <c:v>7.0422535211267512E-3</c:v>
                </c:pt>
                <c:pt idx="43">
                  <c:v>6.9930069930070893E-3</c:v>
                </c:pt>
                <c:pt idx="44">
                  <c:v>6.9444444444444198E-3</c:v>
                </c:pt>
                <c:pt idx="45">
                  <c:v>6.8965517241379448E-3</c:v>
                </c:pt>
                <c:pt idx="46">
                  <c:v>6.8493150684931781E-3</c:v>
                </c:pt>
                <c:pt idx="47">
                  <c:v>6.8027210884353817E-3</c:v>
                </c:pt>
                <c:pt idx="48">
                  <c:v>6.7567567567567988E-3</c:v>
                </c:pt>
                <c:pt idx="49">
                  <c:v>6.7114093959732557E-3</c:v>
                </c:pt>
                <c:pt idx="50">
                  <c:v>6.6666666666665986E-3</c:v>
                </c:pt>
                <c:pt idx="51">
                  <c:v>6.6225165562914245E-3</c:v>
                </c:pt>
                <c:pt idx="52">
                  <c:v>6.5789473684210176E-3</c:v>
                </c:pt>
                <c:pt idx="53">
                  <c:v>6.5359477124182774E-3</c:v>
                </c:pt>
                <c:pt idx="54">
                  <c:v>6.4935064935065512E-3</c:v>
                </c:pt>
                <c:pt idx="55">
                  <c:v>6.4516129032257119E-3</c:v>
                </c:pt>
                <c:pt idx="56">
                  <c:v>6.4102564102561654E-3</c:v>
                </c:pt>
                <c:pt idx="57">
                  <c:v>6.3694267515925773E-3</c:v>
                </c:pt>
                <c:pt idx="58">
                  <c:v>6.3291139240504446E-3</c:v>
                </c:pt>
                <c:pt idx="59">
                  <c:v>6.2893081761008496E-3</c:v>
                </c:pt>
                <c:pt idx="60">
                  <c:v>6.2499999999998668E-3</c:v>
                </c:pt>
                <c:pt idx="61">
                  <c:v>6.2111801242237252E-3</c:v>
                </c:pt>
                <c:pt idx="62">
                  <c:v>6.1728395061726449E-3</c:v>
                </c:pt>
                <c:pt idx="63">
                  <c:v>6.1349693251535609E-3</c:v>
                </c:pt>
                <c:pt idx="64">
                  <c:v>6.0975609756095395E-3</c:v>
                </c:pt>
                <c:pt idx="65">
                  <c:v>6.0606060606060996E-3</c:v>
                </c:pt>
                <c:pt idx="66">
                  <c:v>6.0240963855420215E-3</c:v>
                </c:pt>
                <c:pt idx="67">
                  <c:v>5.9880239520959666E-3</c:v>
                </c:pt>
                <c:pt idx="68">
                  <c:v>5.9523809523809312E-3</c:v>
                </c:pt>
                <c:pt idx="69">
                  <c:v>5.9171597633136397E-3</c:v>
                </c:pt>
                <c:pt idx="70">
                  <c:v>5.8823529411764497E-3</c:v>
                </c:pt>
                <c:pt idx="71">
                  <c:v>5.8479532163742132E-3</c:v>
                </c:pt>
                <c:pt idx="72">
                  <c:v>5.8139534883721034E-3</c:v>
                </c:pt>
                <c:pt idx="73">
                  <c:v>5.7803468208093012E-3</c:v>
                </c:pt>
                <c:pt idx="74">
                  <c:v>5.7471264367816577E-3</c:v>
                </c:pt>
                <c:pt idx="75">
                  <c:v>5.7142857142857828E-3</c:v>
                </c:pt>
                <c:pt idx="76">
                  <c:v>5.6818181818181213E-3</c:v>
                </c:pt>
                <c:pt idx="77">
                  <c:v>5.6497175141243527E-3</c:v>
                </c:pt>
                <c:pt idx="78">
                  <c:v>5.6179775280897903E-3</c:v>
                </c:pt>
                <c:pt idx="79">
                  <c:v>5.5865921787709993E-3</c:v>
                </c:pt>
                <c:pt idx="80">
                  <c:v>5.5555555555555358E-3</c:v>
                </c:pt>
                <c:pt idx="81">
                  <c:v>5.5248618784529135E-3</c:v>
                </c:pt>
                <c:pt idx="82">
                  <c:v>5.494505494505697E-3</c:v>
                </c:pt>
                <c:pt idx="83">
                  <c:v>5.4644808743167239E-3</c:v>
                </c:pt>
                <c:pt idx="84">
                  <c:v>5.4347826086957873E-3</c:v>
                </c:pt>
                <c:pt idx="85">
                  <c:v>5.4054054054053502E-3</c:v>
                </c:pt>
                <c:pt idx="86">
                  <c:v>5.3763440860217226E-3</c:v>
                </c:pt>
                <c:pt idx="87">
                  <c:v>5.3475935828874999E-3</c:v>
                </c:pt>
                <c:pt idx="88">
                  <c:v>5.3191489361703592E-3</c:v>
                </c:pt>
                <c:pt idx="89">
                  <c:v>5.2910052910051242E-3</c:v>
                </c:pt>
                <c:pt idx="90">
                  <c:v>5.2631578947368585E-3</c:v>
                </c:pt>
                <c:pt idx="91">
                  <c:v>5.2356020942407877E-3</c:v>
                </c:pt>
                <c:pt idx="92">
                  <c:v>5.2083333333334814E-3</c:v>
                </c:pt>
                <c:pt idx="93">
                  <c:v>5.1813471502588637E-3</c:v>
                </c:pt>
                <c:pt idx="94">
                  <c:v>5.1546391752577136E-3</c:v>
                </c:pt>
                <c:pt idx="95">
                  <c:v>5.12820512820511E-3</c:v>
                </c:pt>
                <c:pt idx="96">
                  <c:v>5.1020408163264808E-3</c:v>
                </c:pt>
                <c:pt idx="97">
                  <c:v>5.0761421319795996E-3</c:v>
                </c:pt>
                <c:pt idx="98">
                  <c:v>5.050505050504972E-3</c:v>
                </c:pt>
                <c:pt idx="99">
                  <c:v>5.0251256281406143E-3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441-49E7-A932-3610A0AC0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总暴击率</a:t>
                </a:r>
                <a:r>
                  <a:rPr lang="en-US" altLang="zh-CN"/>
                  <a:t>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乘区系数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每</a:t>
                </a:r>
                <a:r>
                  <a:rPr lang="en-US" altLang="zh-CN"/>
                  <a:t>+1%</a:t>
                </a:r>
                <a:r>
                  <a:rPr lang="zh-CN" altLang="en-US"/>
                  <a:t>边际收益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暴击伤害乘区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暴击伤害乘区!$B$1</c:f>
              <c:strCache>
                <c:ptCount val="1"/>
                <c:pt idx="0">
                  <c:v>乘区系数</c:v>
                </c:pt>
              </c:strCache>
            </c:strRef>
          </c:tx>
          <c:spPr>
            <a:ln w="24000">
              <a:solidFill>
                <a:srgbClr val="E76F51"/>
              </a:solidFill>
              <a:prstDash val="solid"/>
            </a:ln>
          </c:spPr>
          <c:marker>
            <c:symbol val="none"/>
          </c:marker>
          <c:cat>
            <c:numRef>
              <c:f>暴击伤害乘区!$A$2:$A$302</c:f>
              <c:numCache>
                <c:formatCode>General</c:formatCode>
                <c:ptCount val="3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</c:numCache>
            </c:numRef>
          </c:cat>
          <c:val>
            <c:numRef>
              <c:f>暴击伤害乘区!$B$2:$B$302</c:f>
              <c:numCache>
                <c:formatCode>0.0000</c:formatCode>
                <c:ptCount val="301"/>
                <c:pt idx="0">
                  <c:v>1</c:v>
                </c:pt>
                <c:pt idx="1">
                  <c:v>1.0069999999999999</c:v>
                </c:pt>
                <c:pt idx="2">
                  <c:v>1.014</c:v>
                </c:pt>
                <c:pt idx="3">
                  <c:v>1.0209999999999999</c:v>
                </c:pt>
                <c:pt idx="4">
                  <c:v>1.028</c:v>
                </c:pt>
                <c:pt idx="5">
                  <c:v>1.0349999999999999</c:v>
                </c:pt>
                <c:pt idx="6">
                  <c:v>1.042</c:v>
                </c:pt>
                <c:pt idx="7">
                  <c:v>1.0489999999999999</c:v>
                </c:pt>
                <c:pt idx="8">
                  <c:v>1.056</c:v>
                </c:pt>
                <c:pt idx="9">
                  <c:v>1.0629999999999999</c:v>
                </c:pt>
                <c:pt idx="10">
                  <c:v>1.07</c:v>
                </c:pt>
                <c:pt idx="11">
                  <c:v>1.077</c:v>
                </c:pt>
                <c:pt idx="12">
                  <c:v>1.0840000000000001</c:v>
                </c:pt>
                <c:pt idx="13">
                  <c:v>1.091</c:v>
                </c:pt>
                <c:pt idx="14">
                  <c:v>1.0980000000000001</c:v>
                </c:pt>
                <c:pt idx="15">
                  <c:v>1.105</c:v>
                </c:pt>
                <c:pt idx="16">
                  <c:v>1.1120000000000001</c:v>
                </c:pt>
                <c:pt idx="17">
                  <c:v>1.119</c:v>
                </c:pt>
                <c:pt idx="18">
                  <c:v>1.1259999999999999</c:v>
                </c:pt>
                <c:pt idx="19">
                  <c:v>1.133</c:v>
                </c:pt>
                <c:pt idx="20">
                  <c:v>1.1400000000000001</c:v>
                </c:pt>
                <c:pt idx="21">
                  <c:v>1.147</c:v>
                </c:pt>
                <c:pt idx="22">
                  <c:v>1.1539999999999999</c:v>
                </c:pt>
                <c:pt idx="23">
                  <c:v>1.161</c:v>
                </c:pt>
                <c:pt idx="24">
                  <c:v>1.1679999999999999</c:v>
                </c:pt>
                <c:pt idx="25">
                  <c:v>1.175</c:v>
                </c:pt>
                <c:pt idx="26">
                  <c:v>1.1819999999999999</c:v>
                </c:pt>
                <c:pt idx="27">
                  <c:v>1.1890000000000001</c:v>
                </c:pt>
                <c:pt idx="28">
                  <c:v>1.196</c:v>
                </c:pt>
                <c:pt idx="29">
                  <c:v>1.2029999999999998</c:v>
                </c:pt>
                <c:pt idx="30">
                  <c:v>1.21</c:v>
                </c:pt>
                <c:pt idx="31">
                  <c:v>1.2170000000000001</c:v>
                </c:pt>
                <c:pt idx="32">
                  <c:v>1.224</c:v>
                </c:pt>
                <c:pt idx="33">
                  <c:v>1.2309999999999999</c:v>
                </c:pt>
                <c:pt idx="34">
                  <c:v>1.238</c:v>
                </c:pt>
                <c:pt idx="35">
                  <c:v>1.2450000000000001</c:v>
                </c:pt>
                <c:pt idx="36">
                  <c:v>1.252</c:v>
                </c:pt>
                <c:pt idx="37">
                  <c:v>1.2589999999999999</c:v>
                </c:pt>
                <c:pt idx="38">
                  <c:v>1.266</c:v>
                </c:pt>
                <c:pt idx="39">
                  <c:v>1.2729999999999999</c:v>
                </c:pt>
                <c:pt idx="40">
                  <c:v>1.28</c:v>
                </c:pt>
                <c:pt idx="41">
                  <c:v>1.2869999999999999</c:v>
                </c:pt>
                <c:pt idx="42">
                  <c:v>1.294</c:v>
                </c:pt>
                <c:pt idx="43">
                  <c:v>1.3009999999999999</c:v>
                </c:pt>
                <c:pt idx="44">
                  <c:v>1.3080000000000001</c:v>
                </c:pt>
                <c:pt idx="45">
                  <c:v>1.3149999999999999</c:v>
                </c:pt>
                <c:pt idx="46">
                  <c:v>1.3220000000000001</c:v>
                </c:pt>
                <c:pt idx="47">
                  <c:v>1.329</c:v>
                </c:pt>
                <c:pt idx="48">
                  <c:v>1.3359999999999999</c:v>
                </c:pt>
                <c:pt idx="49">
                  <c:v>1.343</c:v>
                </c:pt>
                <c:pt idx="50">
                  <c:v>1.35</c:v>
                </c:pt>
                <c:pt idx="51">
                  <c:v>1.357</c:v>
                </c:pt>
                <c:pt idx="52">
                  <c:v>1.3639999999999999</c:v>
                </c:pt>
                <c:pt idx="53">
                  <c:v>1.371</c:v>
                </c:pt>
                <c:pt idx="54">
                  <c:v>1.3779999999999999</c:v>
                </c:pt>
                <c:pt idx="55">
                  <c:v>1.385</c:v>
                </c:pt>
                <c:pt idx="56">
                  <c:v>1.3919999999999999</c:v>
                </c:pt>
                <c:pt idx="57">
                  <c:v>1.399</c:v>
                </c:pt>
                <c:pt idx="58">
                  <c:v>1.4059999999999999</c:v>
                </c:pt>
                <c:pt idx="59">
                  <c:v>1.413</c:v>
                </c:pt>
                <c:pt idx="60">
                  <c:v>1.42</c:v>
                </c:pt>
                <c:pt idx="61">
                  <c:v>1.427</c:v>
                </c:pt>
                <c:pt idx="62">
                  <c:v>1.4339999999999999</c:v>
                </c:pt>
                <c:pt idx="63">
                  <c:v>1.4409999999999998</c:v>
                </c:pt>
                <c:pt idx="64">
                  <c:v>1.448</c:v>
                </c:pt>
                <c:pt idx="65">
                  <c:v>1.4550000000000001</c:v>
                </c:pt>
                <c:pt idx="66">
                  <c:v>1.462</c:v>
                </c:pt>
                <c:pt idx="67">
                  <c:v>1.4689999999999999</c:v>
                </c:pt>
                <c:pt idx="68">
                  <c:v>1.476</c:v>
                </c:pt>
                <c:pt idx="69">
                  <c:v>1.4830000000000001</c:v>
                </c:pt>
                <c:pt idx="70">
                  <c:v>1.49</c:v>
                </c:pt>
                <c:pt idx="71">
                  <c:v>1.4969999999999999</c:v>
                </c:pt>
                <c:pt idx="72">
                  <c:v>1.504</c:v>
                </c:pt>
                <c:pt idx="73">
                  <c:v>1.5109999999999999</c:v>
                </c:pt>
                <c:pt idx="74">
                  <c:v>1.518</c:v>
                </c:pt>
                <c:pt idx="75">
                  <c:v>1.5249999999999999</c:v>
                </c:pt>
                <c:pt idx="76">
                  <c:v>1.532</c:v>
                </c:pt>
                <c:pt idx="77">
                  <c:v>1.5390000000000001</c:v>
                </c:pt>
                <c:pt idx="78">
                  <c:v>1.5459999999999998</c:v>
                </c:pt>
                <c:pt idx="79">
                  <c:v>1.5529999999999999</c:v>
                </c:pt>
                <c:pt idx="80">
                  <c:v>1.56</c:v>
                </c:pt>
                <c:pt idx="81">
                  <c:v>1.5669999999999999</c:v>
                </c:pt>
                <c:pt idx="82">
                  <c:v>1.5739999999999998</c:v>
                </c:pt>
                <c:pt idx="83">
                  <c:v>1.581</c:v>
                </c:pt>
                <c:pt idx="84">
                  <c:v>1.5880000000000001</c:v>
                </c:pt>
                <c:pt idx="85">
                  <c:v>1.595</c:v>
                </c:pt>
                <c:pt idx="86">
                  <c:v>1.6019999999999999</c:v>
                </c:pt>
                <c:pt idx="87">
                  <c:v>1.609</c:v>
                </c:pt>
                <c:pt idx="88">
                  <c:v>1.6160000000000001</c:v>
                </c:pt>
                <c:pt idx="89">
                  <c:v>1.623</c:v>
                </c:pt>
                <c:pt idx="90">
                  <c:v>1.63</c:v>
                </c:pt>
                <c:pt idx="91">
                  <c:v>1.637</c:v>
                </c:pt>
                <c:pt idx="92">
                  <c:v>1.6439999999999999</c:v>
                </c:pt>
                <c:pt idx="93">
                  <c:v>1.6509999999999998</c:v>
                </c:pt>
                <c:pt idx="94">
                  <c:v>1.6579999999999999</c:v>
                </c:pt>
                <c:pt idx="95">
                  <c:v>1.665</c:v>
                </c:pt>
                <c:pt idx="96">
                  <c:v>1.6719999999999999</c:v>
                </c:pt>
                <c:pt idx="97">
                  <c:v>1.6789999999999998</c:v>
                </c:pt>
                <c:pt idx="98">
                  <c:v>1.6859999999999999</c:v>
                </c:pt>
                <c:pt idx="99">
                  <c:v>1.6930000000000001</c:v>
                </c:pt>
                <c:pt idx="100">
                  <c:v>1.7</c:v>
                </c:pt>
                <c:pt idx="101">
                  <c:v>1.7069999999999999</c:v>
                </c:pt>
                <c:pt idx="102">
                  <c:v>1.714</c:v>
                </c:pt>
                <c:pt idx="103">
                  <c:v>1.7210000000000001</c:v>
                </c:pt>
                <c:pt idx="104">
                  <c:v>1.728</c:v>
                </c:pt>
                <c:pt idx="105">
                  <c:v>1.7349999999999999</c:v>
                </c:pt>
                <c:pt idx="106">
                  <c:v>1.742</c:v>
                </c:pt>
                <c:pt idx="107">
                  <c:v>1.7489999999999999</c:v>
                </c:pt>
                <c:pt idx="108">
                  <c:v>1.7559999999999998</c:v>
                </c:pt>
                <c:pt idx="109">
                  <c:v>1.7629999999999999</c:v>
                </c:pt>
                <c:pt idx="110">
                  <c:v>1.77</c:v>
                </c:pt>
                <c:pt idx="111">
                  <c:v>1.7769999999999999</c:v>
                </c:pt>
                <c:pt idx="112">
                  <c:v>1.7839999999999998</c:v>
                </c:pt>
                <c:pt idx="113">
                  <c:v>1.7909999999999999</c:v>
                </c:pt>
                <c:pt idx="114">
                  <c:v>1.798</c:v>
                </c:pt>
                <c:pt idx="115">
                  <c:v>1.8050000000000002</c:v>
                </c:pt>
                <c:pt idx="116">
                  <c:v>1.8119999999999998</c:v>
                </c:pt>
                <c:pt idx="117">
                  <c:v>1.819</c:v>
                </c:pt>
                <c:pt idx="118">
                  <c:v>1.8260000000000001</c:v>
                </c:pt>
                <c:pt idx="119">
                  <c:v>1.833</c:v>
                </c:pt>
                <c:pt idx="120">
                  <c:v>1.8399999999999999</c:v>
                </c:pt>
                <c:pt idx="121">
                  <c:v>1.847</c:v>
                </c:pt>
                <c:pt idx="122">
                  <c:v>1.8539999999999999</c:v>
                </c:pt>
                <c:pt idx="123">
                  <c:v>1.861</c:v>
                </c:pt>
                <c:pt idx="124">
                  <c:v>1.8679999999999999</c:v>
                </c:pt>
                <c:pt idx="125">
                  <c:v>1.875</c:v>
                </c:pt>
                <c:pt idx="126">
                  <c:v>1.8819999999999999</c:v>
                </c:pt>
                <c:pt idx="127">
                  <c:v>1.8889999999999998</c:v>
                </c:pt>
                <c:pt idx="128">
                  <c:v>1.8959999999999999</c:v>
                </c:pt>
                <c:pt idx="129">
                  <c:v>1.903</c:v>
                </c:pt>
                <c:pt idx="130">
                  <c:v>1.9100000000000001</c:v>
                </c:pt>
                <c:pt idx="131">
                  <c:v>1.9169999999999998</c:v>
                </c:pt>
                <c:pt idx="132">
                  <c:v>1.9239999999999999</c:v>
                </c:pt>
                <c:pt idx="133">
                  <c:v>1.931</c:v>
                </c:pt>
                <c:pt idx="134">
                  <c:v>1.9379999999999999</c:v>
                </c:pt>
                <c:pt idx="135">
                  <c:v>1.9449999999999998</c:v>
                </c:pt>
                <c:pt idx="136">
                  <c:v>1.952</c:v>
                </c:pt>
                <c:pt idx="137">
                  <c:v>1.9590000000000001</c:v>
                </c:pt>
                <c:pt idx="138">
                  <c:v>1.966</c:v>
                </c:pt>
                <c:pt idx="139">
                  <c:v>1.9729999999999999</c:v>
                </c:pt>
                <c:pt idx="140">
                  <c:v>1.98</c:v>
                </c:pt>
                <c:pt idx="141">
                  <c:v>1.9869999999999999</c:v>
                </c:pt>
                <c:pt idx="142">
                  <c:v>1.9939999999999998</c:v>
                </c:pt>
                <c:pt idx="143">
                  <c:v>2.0009999999999999</c:v>
                </c:pt>
                <c:pt idx="144">
                  <c:v>2.008</c:v>
                </c:pt>
                <c:pt idx="145">
                  <c:v>2.0149999999999997</c:v>
                </c:pt>
                <c:pt idx="146">
                  <c:v>2.0219999999999998</c:v>
                </c:pt>
                <c:pt idx="147">
                  <c:v>2.0289999999999999</c:v>
                </c:pt>
                <c:pt idx="148">
                  <c:v>2.036</c:v>
                </c:pt>
                <c:pt idx="149">
                  <c:v>2.0430000000000001</c:v>
                </c:pt>
                <c:pt idx="150">
                  <c:v>2.0499999999999998</c:v>
                </c:pt>
                <c:pt idx="151">
                  <c:v>2.0569999999999999</c:v>
                </c:pt>
                <c:pt idx="152">
                  <c:v>2.0640000000000001</c:v>
                </c:pt>
                <c:pt idx="153">
                  <c:v>2.0709999999999997</c:v>
                </c:pt>
                <c:pt idx="154">
                  <c:v>2.0780000000000003</c:v>
                </c:pt>
                <c:pt idx="155">
                  <c:v>2.085</c:v>
                </c:pt>
                <c:pt idx="156">
                  <c:v>2.0919999999999996</c:v>
                </c:pt>
                <c:pt idx="157">
                  <c:v>2.0990000000000002</c:v>
                </c:pt>
                <c:pt idx="158">
                  <c:v>2.1059999999999999</c:v>
                </c:pt>
                <c:pt idx="159">
                  <c:v>2.113</c:v>
                </c:pt>
                <c:pt idx="160">
                  <c:v>2.12</c:v>
                </c:pt>
                <c:pt idx="161">
                  <c:v>2.1269999999999998</c:v>
                </c:pt>
                <c:pt idx="162">
                  <c:v>2.1339999999999999</c:v>
                </c:pt>
                <c:pt idx="163">
                  <c:v>2.141</c:v>
                </c:pt>
                <c:pt idx="164">
                  <c:v>2.1479999999999997</c:v>
                </c:pt>
                <c:pt idx="165">
                  <c:v>2.1549999999999998</c:v>
                </c:pt>
                <c:pt idx="166">
                  <c:v>2.1619999999999999</c:v>
                </c:pt>
                <c:pt idx="167">
                  <c:v>2.1689999999999996</c:v>
                </c:pt>
                <c:pt idx="168">
                  <c:v>2.1760000000000002</c:v>
                </c:pt>
                <c:pt idx="169">
                  <c:v>2.1829999999999998</c:v>
                </c:pt>
                <c:pt idx="170">
                  <c:v>2.19</c:v>
                </c:pt>
                <c:pt idx="171">
                  <c:v>2.1970000000000001</c:v>
                </c:pt>
                <c:pt idx="172">
                  <c:v>2.2039999999999997</c:v>
                </c:pt>
                <c:pt idx="173">
                  <c:v>2.2109999999999999</c:v>
                </c:pt>
                <c:pt idx="174">
                  <c:v>2.218</c:v>
                </c:pt>
                <c:pt idx="175">
                  <c:v>2.2249999999999996</c:v>
                </c:pt>
                <c:pt idx="176">
                  <c:v>2.2320000000000002</c:v>
                </c:pt>
                <c:pt idx="177">
                  <c:v>2.2389999999999999</c:v>
                </c:pt>
                <c:pt idx="178">
                  <c:v>2.246</c:v>
                </c:pt>
                <c:pt idx="179">
                  <c:v>2.2530000000000001</c:v>
                </c:pt>
                <c:pt idx="180">
                  <c:v>2.2599999999999998</c:v>
                </c:pt>
                <c:pt idx="181">
                  <c:v>2.2669999999999999</c:v>
                </c:pt>
                <c:pt idx="182">
                  <c:v>2.274</c:v>
                </c:pt>
                <c:pt idx="183">
                  <c:v>2.2809999999999997</c:v>
                </c:pt>
                <c:pt idx="184">
                  <c:v>2.2879999999999998</c:v>
                </c:pt>
                <c:pt idx="185">
                  <c:v>2.2949999999999999</c:v>
                </c:pt>
                <c:pt idx="186">
                  <c:v>2.3019999999999996</c:v>
                </c:pt>
                <c:pt idx="187">
                  <c:v>2.3090000000000002</c:v>
                </c:pt>
                <c:pt idx="188">
                  <c:v>2.3159999999999998</c:v>
                </c:pt>
                <c:pt idx="189">
                  <c:v>2.3229999999999995</c:v>
                </c:pt>
                <c:pt idx="190">
                  <c:v>2.33</c:v>
                </c:pt>
                <c:pt idx="191">
                  <c:v>2.3369999999999997</c:v>
                </c:pt>
                <c:pt idx="192">
                  <c:v>2.3439999999999999</c:v>
                </c:pt>
                <c:pt idx="193">
                  <c:v>2.351</c:v>
                </c:pt>
                <c:pt idx="194">
                  <c:v>2.3579999999999997</c:v>
                </c:pt>
                <c:pt idx="195">
                  <c:v>2.3650000000000002</c:v>
                </c:pt>
                <c:pt idx="196">
                  <c:v>2.3719999999999999</c:v>
                </c:pt>
                <c:pt idx="197">
                  <c:v>2.3789999999999996</c:v>
                </c:pt>
                <c:pt idx="198">
                  <c:v>2.3860000000000001</c:v>
                </c:pt>
                <c:pt idx="199">
                  <c:v>2.3929999999999998</c:v>
                </c:pt>
                <c:pt idx="200">
                  <c:v>2.4</c:v>
                </c:pt>
                <c:pt idx="201">
                  <c:v>2.407</c:v>
                </c:pt>
                <c:pt idx="202">
                  <c:v>2.4139999999999997</c:v>
                </c:pt>
                <c:pt idx="203">
                  <c:v>2.4210000000000003</c:v>
                </c:pt>
                <c:pt idx="204">
                  <c:v>2.4279999999999999</c:v>
                </c:pt>
                <c:pt idx="205">
                  <c:v>2.4350000000000001</c:v>
                </c:pt>
                <c:pt idx="206">
                  <c:v>2.4420000000000002</c:v>
                </c:pt>
                <c:pt idx="207">
                  <c:v>2.4489999999999998</c:v>
                </c:pt>
                <c:pt idx="208">
                  <c:v>2.456</c:v>
                </c:pt>
                <c:pt idx="209">
                  <c:v>2.4630000000000001</c:v>
                </c:pt>
                <c:pt idx="210">
                  <c:v>2.4699999999999998</c:v>
                </c:pt>
                <c:pt idx="211">
                  <c:v>2.4769999999999999</c:v>
                </c:pt>
                <c:pt idx="212">
                  <c:v>2.484</c:v>
                </c:pt>
                <c:pt idx="213">
                  <c:v>2.4909999999999997</c:v>
                </c:pt>
                <c:pt idx="214">
                  <c:v>2.4979999999999998</c:v>
                </c:pt>
                <c:pt idx="215">
                  <c:v>2.5049999999999999</c:v>
                </c:pt>
                <c:pt idx="216">
                  <c:v>2.5119999999999996</c:v>
                </c:pt>
                <c:pt idx="217">
                  <c:v>2.5189999999999997</c:v>
                </c:pt>
                <c:pt idx="218">
                  <c:v>2.5259999999999998</c:v>
                </c:pt>
                <c:pt idx="219">
                  <c:v>2.5329999999999999</c:v>
                </c:pt>
                <c:pt idx="220">
                  <c:v>2.54</c:v>
                </c:pt>
                <c:pt idx="221">
                  <c:v>2.5469999999999997</c:v>
                </c:pt>
                <c:pt idx="222">
                  <c:v>2.5539999999999998</c:v>
                </c:pt>
                <c:pt idx="223">
                  <c:v>2.5609999999999999</c:v>
                </c:pt>
                <c:pt idx="224">
                  <c:v>2.5679999999999996</c:v>
                </c:pt>
                <c:pt idx="225">
                  <c:v>2.5750000000000002</c:v>
                </c:pt>
                <c:pt idx="226">
                  <c:v>2.5819999999999999</c:v>
                </c:pt>
                <c:pt idx="227">
                  <c:v>2.5889999999999995</c:v>
                </c:pt>
                <c:pt idx="228">
                  <c:v>2.5960000000000001</c:v>
                </c:pt>
                <c:pt idx="229">
                  <c:v>2.6029999999999998</c:v>
                </c:pt>
                <c:pt idx="230">
                  <c:v>2.6100000000000003</c:v>
                </c:pt>
                <c:pt idx="231">
                  <c:v>2.617</c:v>
                </c:pt>
                <c:pt idx="232">
                  <c:v>2.6239999999999997</c:v>
                </c:pt>
                <c:pt idx="233">
                  <c:v>2.6310000000000002</c:v>
                </c:pt>
                <c:pt idx="234">
                  <c:v>2.6379999999999999</c:v>
                </c:pt>
                <c:pt idx="235">
                  <c:v>2.645</c:v>
                </c:pt>
                <c:pt idx="236">
                  <c:v>2.6520000000000001</c:v>
                </c:pt>
                <c:pt idx="237">
                  <c:v>2.6589999999999998</c:v>
                </c:pt>
                <c:pt idx="238">
                  <c:v>2.6659999999999999</c:v>
                </c:pt>
                <c:pt idx="239">
                  <c:v>2.673</c:v>
                </c:pt>
                <c:pt idx="240">
                  <c:v>2.6799999999999997</c:v>
                </c:pt>
                <c:pt idx="241">
                  <c:v>2.6869999999999998</c:v>
                </c:pt>
                <c:pt idx="242">
                  <c:v>2.694</c:v>
                </c:pt>
                <c:pt idx="243">
                  <c:v>2.7009999999999996</c:v>
                </c:pt>
                <c:pt idx="244">
                  <c:v>2.7079999999999997</c:v>
                </c:pt>
                <c:pt idx="245">
                  <c:v>2.7149999999999999</c:v>
                </c:pt>
                <c:pt idx="246">
                  <c:v>2.722</c:v>
                </c:pt>
                <c:pt idx="247">
                  <c:v>2.7290000000000001</c:v>
                </c:pt>
                <c:pt idx="248">
                  <c:v>2.7359999999999998</c:v>
                </c:pt>
                <c:pt idx="249">
                  <c:v>2.7429999999999999</c:v>
                </c:pt>
                <c:pt idx="250">
                  <c:v>2.75</c:v>
                </c:pt>
                <c:pt idx="251">
                  <c:v>2.7569999999999997</c:v>
                </c:pt>
                <c:pt idx="252">
                  <c:v>2.7639999999999998</c:v>
                </c:pt>
                <c:pt idx="253">
                  <c:v>2.7709999999999999</c:v>
                </c:pt>
                <c:pt idx="254">
                  <c:v>2.7779999999999996</c:v>
                </c:pt>
                <c:pt idx="255">
                  <c:v>2.7850000000000001</c:v>
                </c:pt>
                <c:pt idx="256">
                  <c:v>2.7919999999999998</c:v>
                </c:pt>
                <c:pt idx="257">
                  <c:v>2.7989999999999995</c:v>
                </c:pt>
                <c:pt idx="258">
                  <c:v>2.806</c:v>
                </c:pt>
                <c:pt idx="259">
                  <c:v>2.8129999999999997</c:v>
                </c:pt>
                <c:pt idx="260">
                  <c:v>2.8200000000000003</c:v>
                </c:pt>
                <c:pt idx="261">
                  <c:v>2.827</c:v>
                </c:pt>
                <c:pt idx="262">
                  <c:v>2.8339999999999996</c:v>
                </c:pt>
                <c:pt idx="263">
                  <c:v>2.8410000000000002</c:v>
                </c:pt>
                <c:pt idx="264">
                  <c:v>2.8479999999999999</c:v>
                </c:pt>
                <c:pt idx="265">
                  <c:v>2.855</c:v>
                </c:pt>
                <c:pt idx="266">
                  <c:v>2.8620000000000001</c:v>
                </c:pt>
                <c:pt idx="267">
                  <c:v>2.8689999999999998</c:v>
                </c:pt>
                <c:pt idx="268">
                  <c:v>2.8759999999999999</c:v>
                </c:pt>
                <c:pt idx="269">
                  <c:v>2.883</c:v>
                </c:pt>
                <c:pt idx="270">
                  <c:v>2.8899999999999997</c:v>
                </c:pt>
                <c:pt idx="271">
                  <c:v>2.8969999999999998</c:v>
                </c:pt>
                <c:pt idx="272">
                  <c:v>2.9039999999999999</c:v>
                </c:pt>
                <c:pt idx="273">
                  <c:v>2.911</c:v>
                </c:pt>
                <c:pt idx="274">
                  <c:v>2.9180000000000001</c:v>
                </c:pt>
                <c:pt idx="275">
                  <c:v>2.9249999999999998</c:v>
                </c:pt>
                <c:pt idx="276">
                  <c:v>2.9319999999999999</c:v>
                </c:pt>
                <c:pt idx="277">
                  <c:v>2.9390000000000001</c:v>
                </c:pt>
                <c:pt idx="278">
                  <c:v>2.9459999999999997</c:v>
                </c:pt>
                <c:pt idx="279">
                  <c:v>2.9529999999999998</c:v>
                </c:pt>
                <c:pt idx="280">
                  <c:v>2.96</c:v>
                </c:pt>
                <c:pt idx="281">
                  <c:v>2.9669999999999996</c:v>
                </c:pt>
                <c:pt idx="282">
                  <c:v>2.9739999999999998</c:v>
                </c:pt>
                <c:pt idx="283">
                  <c:v>2.9809999999999999</c:v>
                </c:pt>
                <c:pt idx="284">
                  <c:v>2.9879999999999995</c:v>
                </c:pt>
                <c:pt idx="285">
                  <c:v>2.9950000000000001</c:v>
                </c:pt>
                <c:pt idx="286">
                  <c:v>3.0019999999999998</c:v>
                </c:pt>
                <c:pt idx="287">
                  <c:v>3.0089999999999999</c:v>
                </c:pt>
                <c:pt idx="288">
                  <c:v>3.016</c:v>
                </c:pt>
                <c:pt idx="289">
                  <c:v>3.0229999999999997</c:v>
                </c:pt>
                <c:pt idx="290">
                  <c:v>3.03</c:v>
                </c:pt>
                <c:pt idx="291">
                  <c:v>3.0369999999999999</c:v>
                </c:pt>
                <c:pt idx="292">
                  <c:v>3.0439999999999996</c:v>
                </c:pt>
                <c:pt idx="293">
                  <c:v>3.0510000000000002</c:v>
                </c:pt>
                <c:pt idx="294">
                  <c:v>3.0579999999999998</c:v>
                </c:pt>
                <c:pt idx="295">
                  <c:v>3.0649999999999999</c:v>
                </c:pt>
                <c:pt idx="296">
                  <c:v>3.0720000000000001</c:v>
                </c:pt>
                <c:pt idx="297">
                  <c:v>3.0789999999999997</c:v>
                </c:pt>
                <c:pt idx="298">
                  <c:v>3.0859999999999999</c:v>
                </c:pt>
                <c:pt idx="299">
                  <c:v>3.093</c:v>
                </c:pt>
                <c:pt idx="300">
                  <c:v>3.1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4BF-4AF9-B261-FF35CF16F1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暴击伤害乘区!$C$1</c:f>
              <c:strCache>
                <c:ptCount val="1"/>
                <c:pt idx="0">
                  <c:v>每+1%边际收益</c:v>
                </c:pt>
              </c:strCache>
            </c:strRef>
          </c:tx>
          <c:spPr>
            <a:ln w="22000">
              <a:solidFill>
                <a:srgbClr val="2A9D8F"/>
              </a:solidFill>
              <a:prstDash val="solid"/>
            </a:ln>
          </c:spPr>
          <c:marker>
            <c:symbol val="none"/>
          </c:marker>
          <c:cat>
            <c:numRef>
              <c:f>暴击伤害乘区!$A$2:$A$302</c:f>
              <c:numCache>
                <c:formatCode>General</c:formatCode>
                <c:ptCount val="3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</c:numCache>
            </c:numRef>
          </c:cat>
          <c:val>
            <c:numRef>
              <c:f>暴击伤害乘区!$C$2:$C$302</c:f>
              <c:numCache>
                <c:formatCode>0.00%</c:formatCode>
                <c:ptCount val="301"/>
                <c:pt idx="0">
                  <c:v>6.9999999999998952E-3</c:v>
                </c:pt>
                <c:pt idx="1">
                  <c:v>6.9513406156902491E-3</c:v>
                </c:pt>
                <c:pt idx="2">
                  <c:v>6.9033530571991353E-3</c:v>
                </c:pt>
                <c:pt idx="3">
                  <c:v>6.8560235063663821E-3</c:v>
                </c:pt>
                <c:pt idx="4">
                  <c:v>6.809338521400754E-3</c:v>
                </c:pt>
                <c:pt idx="5">
                  <c:v>6.763285024154797E-3</c:v>
                </c:pt>
                <c:pt idx="6">
                  <c:v>6.7178502879077229E-3</c:v>
                </c:pt>
                <c:pt idx="7">
                  <c:v>6.673021925643674E-3</c:v>
                </c:pt>
                <c:pt idx="8">
                  <c:v>6.6287878787878451E-3</c:v>
                </c:pt>
                <c:pt idx="9">
                  <c:v>6.5851364063971296E-3</c:v>
                </c:pt>
                <c:pt idx="10">
                  <c:v>6.5420560747662115E-3</c:v>
                </c:pt>
                <c:pt idx="11">
                  <c:v>6.4995357474466608E-3</c:v>
                </c:pt>
                <c:pt idx="12">
                  <c:v>6.4575645756457245E-3</c:v>
                </c:pt>
                <c:pt idx="13">
                  <c:v>6.4161319890010393E-3</c:v>
                </c:pt>
                <c:pt idx="14">
                  <c:v>6.3752276867030666E-3</c:v>
                </c:pt>
                <c:pt idx="15">
                  <c:v>6.3348416289594756E-3</c:v>
                </c:pt>
                <c:pt idx="16">
                  <c:v>6.2949640287768283E-3</c:v>
                </c:pt>
                <c:pt idx="17">
                  <c:v>6.2555853440571241E-3</c:v>
                </c:pt>
                <c:pt idx="18">
                  <c:v>6.2166962699823358E-3</c:v>
                </c:pt>
                <c:pt idx="19">
                  <c:v>6.1782877316858276E-3</c:v>
                </c:pt>
                <c:pt idx="20">
                  <c:v>6.1403508771928905E-3</c:v>
                </c:pt>
                <c:pt idx="21">
                  <c:v>6.1028770706188507E-3</c:v>
                </c:pt>
                <c:pt idx="22">
                  <c:v>6.0658578856154222E-3</c:v>
                </c:pt>
                <c:pt idx="23">
                  <c:v>6.0292850990524283E-3</c:v>
                </c:pt>
                <c:pt idx="24">
                  <c:v>5.9931506849315586E-3</c:v>
                </c:pt>
                <c:pt idx="25">
                  <c:v>5.9574468085106247E-3</c:v>
                </c:pt>
                <c:pt idx="26">
                  <c:v>5.9221658206429773E-3</c:v>
                </c:pt>
                <c:pt idx="27">
                  <c:v>5.887300252312766E-3</c:v>
                </c:pt>
                <c:pt idx="28">
                  <c:v>5.8528428093644891E-3</c:v>
                </c:pt>
                <c:pt idx="29">
                  <c:v>5.818786367414841E-3</c:v>
                </c:pt>
                <c:pt idx="30">
                  <c:v>5.7851239669421961E-3</c:v>
                </c:pt>
                <c:pt idx="31">
                  <c:v>5.7518488085455122E-3</c:v>
                </c:pt>
                <c:pt idx="32">
                  <c:v>5.7189542483659928E-3</c:v>
                </c:pt>
                <c:pt idx="33">
                  <c:v>5.6864337936637366E-3</c:v>
                </c:pt>
                <c:pt idx="34">
                  <c:v>5.6542810985460434E-3</c:v>
                </c:pt>
                <c:pt idx="35">
                  <c:v>5.6224899598393829E-3</c:v>
                </c:pt>
                <c:pt idx="36">
                  <c:v>5.5910543130990309E-3</c:v>
                </c:pt>
                <c:pt idx="37">
                  <c:v>5.5599682287530428E-3</c:v>
                </c:pt>
                <c:pt idx="38">
                  <c:v>5.5292259083727924E-3</c:v>
                </c:pt>
                <c:pt idx="39">
                  <c:v>5.498821681068522E-3</c:v>
                </c:pt>
                <c:pt idx="40">
                  <c:v>5.4687499999999112E-3</c:v>
                </c:pt>
                <c:pt idx="41">
                  <c:v>5.4390054390054399E-3</c:v>
                </c:pt>
                <c:pt idx="42">
                  <c:v>5.4095826893352239E-3</c:v>
                </c:pt>
                <c:pt idx="43">
                  <c:v>5.3804765564950952E-3</c:v>
                </c:pt>
                <c:pt idx="44">
                  <c:v>5.3516819571863827E-3</c:v>
                </c:pt>
                <c:pt idx="45">
                  <c:v>5.3231939163498332E-3</c:v>
                </c:pt>
                <c:pt idx="46">
                  <c:v>5.2950075642963501E-3</c:v>
                </c:pt>
                <c:pt idx="47">
                  <c:v>5.2671181339352113E-3</c:v>
                </c:pt>
                <c:pt idx="48">
                  <c:v>5.2395209580839985E-3</c:v>
                </c:pt>
                <c:pt idx="49">
                  <c:v>5.2122114668653463E-3</c:v>
                </c:pt>
                <c:pt idx="50">
                  <c:v>5.1851851851851816E-3</c:v>
                </c:pt>
                <c:pt idx="51">
                  <c:v>5.1584377302873463E-3</c:v>
                </c:pt>
                <c:pt idx="52">
                  <c:v>5.1319648093841597E-3</c:v>
                </c:pt>
                <c:pt idx="53">
                  <c:v>5.1057622173595885E-3</c:v>
                </c:pt>
                <c:pt idx="54">
                  <c:v>5.079825834542806E-3</c:v>
                </c:pt>
                <c:pt idx="55">
                  <c:v>5.0541516245485862E-3</c:v>
                </c:pt>
                <c:pt idx="56">
                  <c:v>5.0287356321840893E-3</c:v>
                </c:pt>
                <c:pt idx="57">
                  <c:v>5.0035739814151547E-3</c:v>
                </c:pt>
                <c:pt idx="58">
                  <c:v>4.978662873399875E-3</c:v>
                </c:pt>
                <c:pt idx="59">
                  <c:v>4.9539985845716838E-3</c:v>
                </c:pt>
                <c:pt idx="60">
                  <c:v>4.9295774647888368E-3</c:v>
                </c:pt>
                <c:pt idx="61">
                  <c:v>4.9053959355289667E-3</c:v>
                </c:pt>
                <c:pt idx="62">
                  <c:v>4.8814504881449228E-3</c:v>
                </c:pt>
                <c:pt idx="63">
                  <c:v>4.8577376821652418E-3</c:v>
                </c:pt>
                <c:pt idx="64">
                  <c:v>4.8342541436465769E-3</c:v>
                </c:pt>
                <c:pt idx="65">
                  <c:v>4.8109965635738661E-3</c:v>
                </c:pt>
                <c:pt idx="66">
                  <c:v>4.7879616963064642E-3</c:v>
                </c:pt>
                <c:pt idx="67">
                  <c:v>4.7651463580666853E-3</c:v>
                </c:pt>
                <c:pt idx="68">
                  <c:v>4.7425474254743083E-3</c:v>
                </c:pt>
                <c:pt idx="69">
                  <c:v>4.7201618341199403E-3</c:v>
                </c:pt>
                <c:pt idx="70">
                  <c:v>4.6979865771812346E-3</c:v>
                </c:pt>
                <c:pt idx="71">
                  <c:v>4.676018704074858E-3</c:v>
                </c:pt>
                <c:pt idx="72">
                  <c:v>4.65425531914887E-3</c:v>
                </c:pt>
                <c:pt idx="73">
                  <c:v>4.6326935804104075E-3</c:v>
                </c:pt>
                <c:pt idx="74">
                  <c:v>4.6113306982871194E-3</c:v>
                </c:pt>
                <c:pt idx="75">
                  <c:v>4.5901639344263501E-3</c:v>
                </c:pt>
                <c:pt idx="76">
                  <c:v>4.5691906005222993E-3</c:v>
                </c:pt>
                <c:pt idx="77">
                  <c:v>4.5484080571798202E-3</c:v>
                </c:pt>
                <c:pt idx="78">
                  <c:v>4.5278137128073048E-3</c:v>
                </c:pt>
                <c:pt idx="79">
                  <c:v>4.5074050225371032E-3</c:v>
                </c:pt>
                <c:pt idx="80">
                  <c:v>4.4871794871794712E-3</c:v>
                </c:pt>
                <c:pt idx="81">
                  <c:v>4.4671346522016098E-3</c:v>
                </c:pt>
                <c:pt idx="82">
                  <c:v>4.4472681067344588E-3</c:v>
                </c:pt>
                <c:pt idx="83">
                  <c:v>4.4275774826059155E-3</c:v>
                </c:pt>
                <c:pt idx="84">
                  <c:v>4.4080604534004753E-3</c:v>
                </c:pt>
                <c:pt idx="85">
                  <c:v>4.3887147335421872E-3</c:v>
                </c:pt>
                <c:pt idx="86">
                  <c:v>4.3695380774033676E-3</c:v>
                </c:pt>
                <c:pt idx="87">
                  <c:v>4.3505282784339627E-3</c:v>
                </c:pt>
                <c:pt idx="88">
                  <c:v>4.331683168316669E-3</c:v>
                </c:pt>
                <c:pt idx="89">
                  <c:v>4.3130006161429257E-3</c:v>
                </c:pt>
                <c:pt idx="90">
                  <c:v>4.2944785276073372E-3</c:v>
                </c:pt>
                <c:pt idx="91">
                  <c:v>4.2761148442271857E-3</c:v>
                </c:pt>
                <c:pt idx="92">
                  <c:v>4.2579075425790425E-3</c:v>
                </c:pt>
                <c:pt idx="93">
                  <c:v>4.2398546335555842E-3</c:v>
                </c:pt>
                <c:pt idx="94">
                  <c:v>4.2219541616406175E-3</c:v>
                </c:pt>
                <c:pt idx="95">
                  <c:v>4.2042042042040872E-3</c:v>
                </c:pt>
                <c:pt idx="96">
                  <c:v>4.1866028708132941E-3</c:v>
                </c:pt>
                <c:pt idx="97">
                  <c:v>4.1691483025612097E-3</c:v>
                </c:pt>
                <c:pt idx="98">
                  <c:v>4.1518386714116673E-3</c:v>
                </c:pt>
                <c:pt idx="99">
                  <c:v>4.1346721795627595E-3</c:v>
                </c:pt>
                <c:pt idx="100">
                  <c:v>4.1176470588235592E-3</c:v>
                </c:pt>
                <c:pt idx="101">
                  <c:v>4.1007615700059397E-3</c:v>
                </c:pt>
                <c:pt idx="102">
                  <c:v>4.0840140023337135E-3</c:v>
                </c:pt>
                <c:pt idx="103">
                  <c:v>4.0674026728646506E-3</c:v>
                </c:pt>
                <c:pt idx="104">
                  <c:v>4.050925925925819E-3</c:v>
                </c:pt>
                <c:pt idx="105">
                  <c:v>4.0345821325649123E-3</c:v>
                </c:pt>
                <c:pt idx="106">
                  <c:v>4.0183696900113475E-3</c:v>
                </c:pt>
                <c:pt idx="107">
                  <c:v>4.0022870211549044E-3</c:v>
                </c:pt>
                <c:pt idx="108">
                  <c:v>3.9863325740319144E-3</c:v>
                </c:pt>
                <c:pt idx="109">
                  <c:v>3.9705048213274363E-3</c:v>
                </c:pt>
                <c:pt idx="110">
                  <c:v>3.9548022598869803E-3</c:v>
                </c:pt>
                <c:pt idx="111">
                  <c:v>3.9392234102419987E-3</c:v>
                </c:pt>
                <c:pt idx="112">
                  <c:v>3.9237668161435924E-3</c:v>
                </c:pt>
                <c:pt idx="113">
                  <c:v>3.9084310441095393E-3</c:v>
                </c:pt>
                <c:pt idx="114">
                  <c:v>3.8932146829810943E-3</c:v>
                </c:pt>
                <c:pt idx="115">
                  <c:v>3.8781163434902233E-3</c:v>
                </c:pt>
                <c:pt idx="116">
                  <c:v>3.8631346578366088E-3</c:v>
                </c:pt>
                <c:pt idx="117">
                  <c:v>3.8482682792744249E-3</c:v>
                </c:pt>
                <c:pt idx="118">
                  <c:v>3.8335158817086601E-3</c:v>
                </c:pt>
                <c:pt idx="119">
                  <c:v>3.818876159301654E-3</c:v>
                </c:pt>
                <c:pt idx="120">
                  <c:v>3.8043478260869623E-3</c:v>
                </c:pt>
                <c:pt idx="121">
                  <c:v>3.7899296155927686E-3</c:v>
                </c:pt>
                <c:pt idx="122">
                  <c:v>3.7756202804746231E-3</c:v>
                </c:pt>
                <c:pt idx="123">
                  <c:v>3.7614185921546195E-3</c:v>
                </c:pt>
                <c:pt idx="124">
                  <c:v>3.7473233404712314E-3</c:v>
                </c:pt>
                <c:pt idx="125">
                  <c:v>3.7333333333333663E-3</c:v>
                </c:pt>
                <c:pt idx="126">
                  <c:v>3.7194473963868546E-3</c:v>
                </c:pt>
                <c:pt idx="127">
                  <c:v>3.7056643726840477E-3</c:v>
                </c:pt>
                <c:pt idx="128">
                  <c:v>3.6919831223629629E-3</c:v>
                </c:pt>
                <c:pt idx="129">
                  <c:v>3.6784025223333128E-3</c:v>
                </c:pt>
                <c:pt idx="130">
                  <c:v>3.6649214659683071E-3</c:v>
                </c:pt>
                <c:pt idx="131">
                  <c:v>3.6515388628064471E-3</c:v>
                </c:pt>
                <c:pt idx="132">
                  <c:v>3.6382536382537634E-3</c:v>
                </c:pt>
                <c:pt idx="133">
                  <c:v>3.6250647332987107E-3</c:v>
                </c:pt>
                <c:pt idx="134">
                  <c:v>3.6119711042310598E-3</c:v>
                </c:pt>
                <c:pt idx="135">
                  <c:v>3.5989717223650075E-3</c:v>
                </c:pt>
                <c:pt idx="136">
                  <c:v>3.5860655737705027E-3</c:v>
                </c:pt>
                <c:pt idx="137">
                  <c:v>3.5732516590096797E-3</c:v>
                </c:pt>
                <c:pt idx="138">
                  <c:v>3.5605289928788419E-3</c:v>
                </c:pt>
                <c:pt idx="139">
                  <c:v>3.5478966041562199E-3</c:v>
                </c:pt>
                <c:pt idx="140">
                  <c:v>3.5353535353535026E-3</c:v>
                </c:pt>
                <c:pt idx="141">
                  <c:v>3.5228988424760299E-3</c:v>
                </c:pt>
                <c:pt idx="142">
                  <c:v>3.5105315947843163E-3</c:v>
                </c:pt>
                <c:pt idx="143">
                  <c:v>3.4982508745626806E-3</c:v>
                </c:pt>
                <c:pt idx="144">
                  <c:v>3.4860557768923162E-3</c:v>
                </c:pt>
                <c:pt idx="145">
                  <c:v>3.4739454094292466E-3</c:v>
                </c:pt>
                <c:pt idx="146">
                  <c:v>3.4619188921860555E-3</c:v>
                </c:pt>
                <c:pt idx="147">
                  <c:v>3.4499753573189462E-3</c:v>
                </c:pt>
                <c:pt idx="148">
                  <c:v>3.4381139489194634E-3</c:v>
                </c:pt>
                <c:pt idx="149">
                  <c:v>3.4263338228093243E-3</c:v>
                </c:pt>
                <c:pt idx="150">
                  <c:v>3.4146341463414664E-3</c:v>
                </c:pt>
                <c:pt idx="151">
                  <c:v>3.4030140982013179E-3</c:v>
                </c:pt>
                <c:pt idx="152">
                  <c:v>3.3914728682169493E-3</c:v>
                </c:pt>
                <c:pt idx="153">
                  <c:v>3.3800096571707794E-3</c:v>
                </c:pt>
                <c:pt idx="154">
                  <c:v>3.3686236766119482E-3</c:v>
                </c:pt>
                <c:pt idx="155">
                  <c:v>3.3573141486809011E-3</c:v>
                </c:pt>
                <c:pt idx="156">
                  <c:v>3.3460803059275346E-3</c:v>
                </c:pt>
                <c:pt idx="157">
                  <c:v>3.3349213911384457E-3</c:v>
                </c:pt>
                <c:pt idx="158">
                  <c:v>3.323836657169954E-3</c:v>
                </c:pt>
                <c:pt idx="159">
                  <c:v>3.3128253667771279E-3</c:v>
                </c:pt>
                <c:pt idx="160">
                  <c:v>3.3018867924525797E-3</c:v>
                </c:pt>
                <c:pt idx="161">
                  <c:v>3.2910202162670377E-3</c:v>
                </c:pt>
                <c:pt idx="162">
                  <c:v>3.2802249297094743E-3</c:v>
                </c:pt>
                <c:pt idx="163">
                  <c:v>3.2695002335356715E-3</c:v>
                </c:pt>
                <c:pt idx="164">
                  <c:v>3.2588454376163423E-3</c:v>
                </c:pt>
                <c:pt idx="165">
                  <c:v>3.2482598607890267E-3</c:v>
                </c:pt>
                <c:pt idx="166">
                  <c:v>3.2377428307122091E-3</c:v>
                </c:pt>
                <c:pt idx="167">
                  <c:v>3.2272936837254296E-3</c:v>
                </c:pt>
                <c:pt idx="168">
                  <c:v>3.2169117647056211E-3</c:v>
                </c:pt>
                <c:pt idx="169">
                  <c:v>3.2065964269354374E-3</c:v>
                </c:pt>
                <c:pt idx="170">
                  <c:v>3.1963470319635867E-3</c:v>
                </c:pt>
                <c:pt idx="171">
                  <c:v>3.1861629494764898E-3</c:v>
                </c:pt>
                <c:pt idx="172">
                  <c:v>3.1760435571688284E-3</c:v>
                </c:pt>
                <c:pt idx="173">
                  <c:v>3.1659882406152029E-3</c:v>
                </c:pt>
                <c:pt idx="174">
                  <c:v>3.1559963931468982E-3</c:v>
                </c:pt>
                <c:pt idx="175">
                  <c:v>3.1460674157306467E-3</c:v>
                </c:pt>
                <c:pt idx="176">
                  <c:v>3.1362007168458383E-3</c:v>
                </c:pt>
                <c:pt idx="177">
                  <c:v>3.1263957123717212E-3</c:v>
                </c:pt>
                <c:pt idx="178">
                  <c:v>3.116651825467498E-3</c:v>
                </c:pt>
                <c:pt idx="179">
                  <c:v>3.1069684864624136E-3</c:v>
                </c:pt>
                <c:pt idx="180">
                  <c:v>3.097345132743401E-3</c:v>
                </c:pt>
                <c:pt idx="181">
                  <c:v>3.0877812086458345E-3</c:v>
                </c:pt>
                <c:pt idx="182">
                  <c:v>3.0782761653471713E-3</c:v>
                </c:pt>
                <c:pt idx="183">
                  <c:v>3.0688294607628119E-3</c:v>
                </c:pt>
                <c:pt idx="184">
                  <c:v>3.0594405594406293E-3</c:v>
                </c:pt>
                <c:pt idx="185">
                  <c:v>3.0501089324617148E-3</c:v>
                </c:pt>
                <c:pt idx="186">
                  <c:v>3.0408340573417902E-3</c:v>
                </c:pt>
                <c:pt idx="187">
                  <c:v>3.0316154179297339E-3</c:v>
                </c:pt>
                <c:pt idx="188">
                  <c:v>3.022452504317652E-3</c:v>
                </c:pt>
                <c:pt idx="189">
                  <c:v>3.0133448127422913E-3</c:v>
                </c:pt>
                <c:pt idx="190">
                  <c:v>3.0042918454933343E-3</c:v>
                </c:pt>
                <c:pt idx="191">
                  <c:v>2.995293110825914E-3</c:v>
                </c:pt>
                <c:pt idx="192">
                  <c:v>2.9863481228669109E-3</c:v>
                </c:pt>
                <c:pt idx="193">
                  <c:v>2.9774564015310201E-3</c:v>
                </c:pt>
                <c:pt idx="194">
                  <c:v>2.9686174724345982E-3</c:v>
                </c:pt>
                <c:pt idx="195">
                  <c:v>2.9598308668075113E-3</c:v>
                </c:pt>
                <c:pt idx="196">
                  <c:v>2.9510961214163078E-3</c:v>
                </c:pt>
                <c:pt idx="197">
                  <c:v>2.9424127784785092E-3</c:v>
                </c:pt>
                <c:pt idx="198">
                  <c:v>2.9337803855824518E-3</c:v>
                </c:pt>
                <c:pt idx="199">
                  <c:v>2.9251984956122357E-3</c:v>
                </c:pt>
                <c:pt idx="200">
                  <c:v>2.9166666666666785E-3</c:v>
                </c:pt>
                <c:pt idx="201">
                  <c:v>2.9081844619858188E-3</c:v>
                </c:pt>
                <c:pt idx="202">
                  <c:v>2.8997514498758648E-3</c:v>
                </c:pt>
                <c:pt idx="203">
                  <c:v>2.8913672036348093E-3</c:v>
                </c:pt>
                <c:pt idx="204">
                  <c:v>2.883031301482708E-3</c:v>
                </c:pt>
                <c:pt idx="205">
                  <c:v>2.8747433264888489E-3</c:v>
                </c:pt>
                <c:pt idx="206">
                  <c:v>2.8665028665026959E-3</c:v>
                </c:pt>
                <c:pt idx="207">
                  <c:v>2.8583095140874981E-3</c:v>
                </c:pt>
                <c:pt idx="208">
                  <c:v>2.8501628664494572E-3</c:v>
                </c:pt>
                <c:pt idx="209">
                  <c:v>2.8420625253753329E-3</c:v>
                </c:pt>
                <c:pt idx="210">
                  <c:v>2.834008097166052E-3</c:v>
                </c:pt>
                <c:pt idx="211">
                  <c:v>2.8259991925716488E-3</c:v>
                </c:pt>
                <c:pt idx="212">
                  <c:v>2.8180354267308694E-3</c:v>
                </c:pt>
                <c:pt idx="213">
                  <c:v>2.8101164191087769E-3</c:v>
                </c:pt>
                <c:pt idx="214">
                  <c:v>2.802241793434801E-3</c:v>
                </c:pt>
                <c:pt idx="215">
                  <c:v>2.7944111776445624E-3</c:v>
                </c:pt>
                <c:pt idx="216">
                  <c:v>2.7866242038216971E-3</c:v>
                </c:pt>
                <c:pt idx="217">
                  <c:v>2.7788805081381263E-3</c:v>
                </c:pt>
                <c:pt idx="218">
                  <c:v>2.7711797307996555E-3</c:v>
                </c:pt>
                <c:pt idx="219">
                  <c:v>2.7635215159889093E-3</c:v>
                </c:pt>
                <c:pt idx="220">
                  <c:v>2.7559055118109299E-3</c:v>
                </c:pt>
                <c:pt idx="221">
                  <c:v>2.748331370239443E-3</c:v>
                </c:pt>
                <c:pt idx="222">
                  <c:v>2.7407987470635664E-3</c:v>
                </c:pt>
                <c:pt idx="223">
                  <c:v>2.7333073018351861E-3</c:v>
                </c:pt>
                <c:pt idx="224">
                  <c:v>2.7258566978194398E-3</c:v>
                </c:pt>
                <c:pt idx="225">
                  <c:v>2.7184466019416487E-3</c:v>
                </c:pt>
                <c:pt idx="226">
                  <c:v>2.7110766847404655E-3</c:v>
                </c:pt>
                <c:pt idx="227">
                  <c:v>2.7037466203170268E-3</c:v>
                </c:pt>
                <c:pt idx="228">
                  <c:v>2.6964560862865472E-3</c:v>
                </c:pt>
                <c:pt idx="229">
                  <c:v>2.6892047637343541E-3</c:v>
                </c:pt>
                <c:pt idx="230">
                  <c:v>2.681992337164596E-3</c:v>
                </c:pt>
                <c:pt idx="231">
                  <c:v>2.6748184944591635E-3</c:v>
                </c:pt>
                <c:pt idx="232">
                  <c:v>2.6676829268295066E-3</c:v>
                </c:pt>
                <c:pt idx="233">
                  <c:v>2.6605853287722248E-3</c:v>
                </c:pt>
                <c:pt idx="234">
                  <c:v>2.6535253980288775E-3</c:v>
                </c:pt>
                <c:pt idx="235">
                  <c:v>2.6465028355386888E-3</c:v>
                </c:pt>
                <c:pt idx="236">
                  <c:v>2.6395173453994669E-3</c:v>
                </c:pt>
                <c:pt idx="237">
                  <c:v>2.6325686348251942E-3</c:v>
                </c:pt>
                <c:pt idx="238">
                  <c:v>2.6256564141036165E-3</c:v>
                </c:pt>
                <c:pt idx="239">
                  <c:v>2.6187803965580514E-3</c:v>
                </c:pt>
                <c:pt idx="240">
                  <c:v>2.6119402985074203E-3</c:v>
                </c:pt>
                <c:pt idx="241">
                  <c:v>2.6051358392258361E-3</c:v>
                </c:pt>
                <c:pt idx="242">
                  <c:v>2.5983667409055222E-3</c:v>
                </c:pt>
                <c:pt idx="243">
                  <c:v>2.5916327286190644E-3</c:v>
                </c:pt>
                <c:pt idx="244">
                  <c:v>2.5849335302807752E-3</c:v>
                </c:pt>
                <c:pt idx="245">
                  <c:v>2.5782688766113893E-3</c:v>
                </c:pt>
                <c:pt idx="246">
                  <c:v>2.5716385011020915E-3</c:v>
                </c:pt>
                <c:pt idx="247">
                  <c:v>2.56504213997788E-3</c:v>
                </c:pt>
                <c:pt idx="248">
                  <c:v>2.5584795321638154E-3</c:v>
                </c:pt>
                <c:pt idx="249">
                  <c:v>2.5519504192490494E-3</c:v>
                </c:pt>
                <c:pt idx="250">
                  <c:v>2.5454545454544064E-3</c:v>
                </c:pt>
                <c:pt idx="251">
                  <c:v>2.5389916575988547E-3</c:v>
                </c:pt>
                <c:pt idx="252">
                  <c:v>2.5325615050650896E-3</c:v>
                </c:pt>
                <c:pt idx="253">
                  <c:v>2.5261638397688913E-3</c:v>
                </c:pt>
                <c:pt idx="254">
                  <c:v>2.5197984161269282E-3</c:v>
                </c:pt>
                <c:pt idx="255">
                  <c:v>2.5134649910232287E-3</c:v>
                </c:pt>
                <c:pt idx="256">
                  <c:v>2.5071633237820912E-3</c:v>
                </c:pt>
                <c:pt idx="257">
                  <c:v>2.5008931761345554E-3</c:v>
                </c:pt>
                <c:pt idx="258">
                  <c:v>2.4946543121879827E-3</c:v>
                </c:pt>
                <c:pt idx="259">
                  <c:v>2.4884464984005206E-3</c:v>
                </c:pt>
                <c:pt idx="260">
                  <c:v>2.4822695035460196E-3</c:v>
                </c:pt>
                <c:pt idx="261">
                  <c:v>2.4761230986911631E-3</c:v>
                </c:pt>
                <c:pt idx="262">
                  <c:v>2.4700070571632704E-3</c:v>
                </c:pt>
                <c:pt idx="263">
                  <c:v>2.4639211545229855E-3</c:v>
                </c:pt>
                <c:pt idx="264">
                  <c:v>2.4578651685394082E-3</c:v>
                </c:pt>
                <c:pt idx="265">
                  <c:v>2.4518388791594514E-3</c:v>
                </c:pt>
                <c:pt idx="266">
                  <c:v>2.445842068483417E-3</c:v>
                </c:pt>
                <c:pt idx="267">
                  <c:v>2.439874520739016E-3</c:v>
                </c:pt>
                <c:pt idx="268">
                  <c:v>2.4339360222531692E-3</c:v>
                </c:pt>
                <c:pt idx="269">
                  <c:v>2.4280263614289144E-3</c:v>
                </c:pt>
                <c:pt idx="270">
                  <c:v>2.4221453287198713E-3</c:v>
                </c:pt>
                <c:pt idx="271">
                  <c:v>2.4162927166033743E-3</c:v>
                </c:pt>
                <c:pt idx="272">
                  <c:v>2.4104683195593779E-3</c:v>
                </c:pt>
                <c:pt idx="273">
                  <c:v>2.4046719340433675E-3</c:v>
                </c:pt>
                <c:pt idx="274">
                  <c:v>2.3989033584645991E-3</c:v>
                </c:pt>
                <c:pt idx="275">
                  <c:v>2.3931623931623403E-3</c:v>
                </c:pt>
                <c:pt idx="276">
                  <c:v>2.3874488403821115E-3</c:v>
                </c:pt>
                <c:pt idx="277">
                  <c:v>2.3817625042530377E-3</c:v>
                </c:pt>
                <c:pt idx="278">
                  <c:v>2.3761031907671981E-3</c:v>
                </c:pt>
                <c:pt idx="279">
                  <c:v>2.3704707077547571E-3</c:v>
                </c:pt>
                <c:pt idx="280">
                  <c:v>2.3648648648646464E-3</c:v>
                </c:pt>
                <c:pt idx="281">
                  <c:v>2.3592854735423607E-3</c:v>
                </c:pt>
                <c:pt idx="282">
                  <c:v>2.3537323470075311E-3</c:v>
                </c:pt>
                <c:pt idx="283">
                  <c:v>2.3482053002346071E-3</c:v>
                </c:pt>
                <c:pt idx="284">
                  <c:v>2.3427041499333168E-3</c:v>
                </c:pt>
                <c:pt idx="285">
                  <c:v>2.33722871452402E-3</c:v>
                </c:pt>
                <c:pt idx="286">
                  <c:v>2.3317788141239415E-3</c:v>
                </c:pt>
                <c:pt idx="287">
                  <c:v>2.3263542705218576E-3</c:v>
                </c:pt>
                <c:pt idx="288">
                  <c:v>2.3209549071616653E-3</c:v>
                </c:pt>
                <c:pt idx="289">
                  <c:v>2.3155805491235082E-3</c:v>
                </c:pt>
                <c:pt idx="290">
                  <c:v>2.3102310231022383E-3</c:v>
                </c:pt>
                <c:pt idx="291">
                  <c:v>2.3049061573920948E-3</c:v>
                </c:pt>
                <c:pt idx="292">
                  <c:v>2.2996057818660542E-3</c:v>
                </c:pt>
                <c:pt idx="293">
                  <c:v>2.2943297279578445E-3</c:v>
                </c:pt>
                <c:pt idx="294">
                  <c:v>2.2890778286461799E-3</c:v>
                </c:pt>
                <c:pt idx="295">
                  <c:v>2.283849918433889E-3</c:v>
                </c:pt>
                <c:pt idx="296">
                  <c:v>2.2786458333332593E-3</c:v>
                </c:pt>
                <c:pt idx="297">
                  <c:v>2.2734654108476082E-3</c:v>
                </c:pt>
                <c:pt idx="298">
                  <c:v>2.2683084899546291E-3</c:v>
                </c:pt>
                <c:pt idx="299">
                  <c:v>2.2631749110895161E-3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4BF-4AF9-B261-FF35CF16F1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总暴伤</a:t>
                </a:r>
                <a:r>
                  <a:rPr lang="en-US" altLang="zh-CN"/>
                  <a:t>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乘区系数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每</a:t>
                </a:r>
                <a:r>
                  <a:rPr lang="en-US" altLang="zh-CN"/>
                  <a:t>+1%</a:t>
                </a:r>
                <a:r>
                  <a:rPr lang="zh-CN" altLang="en-US"/>
                  <a:t>边际收益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防御乘区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防御乘区!$B$1</c:f>
              <c:strCache>
                <c:ptCount val="1"/>
                <c:pt idx="0">
                  <c:v>乘区系数</c:v>
                </c:pt>
              </c:strCache>
            </c:strRef>
          </c:tx>
          <c:spPr>
            <a:ln w="24000">
              <a:solidFill>
                <a:srgbClr val="E76F51"/>
              </a:solidFill>
              <a:prstDash val="solid"/>
            </a:ln>
          </c:spPr>
          <c:marker>
            <c:symbol val="none"/>
          </c:marker>
          <c:cat>
            <c:numRef>
              <c:f>防御乘区!$A$2:$A$102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防御乘区!$B$2:$B$102</c:f>
              <c:numCache>
                <c:formatCode>0.0000</c:formatCode>
                <c:ptCount val="101"/>
                <c:pt idx="0">
                  <c:v>0.5</c:v>
                </c:pt>
                <c:pt idx="1">
                  <c:v>0.50251256281407031</c:v>
                </c:pt>
                <c:pt idx="2">
                  <c:v>0.50505050505050497</c:v>
                </c:pt>
                <c:pt idx="3">
                  <c:v>0.50761421319796951</c:v>
                </c:pt>
                <c:pt idx="4">
                  <c:v>0.51020408163265307</c:v>
                </c:pt>
                <c:pt idx="5">
                  <c:v>0.51282051282051277</c:v>
                </c:pt>
                <c:pt idx="6">
                  <c:v>0.51546391752577314</c:v>
                </c:pt>
                <c:pt idx="7">
                  <c:v>0.5181347150259068</c:v>
                </c:pt>
                <c:pt idx="8">
                  <c:v>0.52083333333333326</c:v>
                </c:pt>
                <c:pt idx="9">
                  <c:v>0.52356020942408377</c:v>
                </c:pt>
                <c:pt idx="10">
                  <c:v>0.52631578947368429</c:v>
                </c:pt>
                <c:pt idx="11">
                  <c:v>0.52910052910052907</c:v>
                </c:pt>
                <c:pt idx="12">
                  <c:v>0.53191489361702127</c:v>
                </c:pt>
                <c:pt idx="13">
                  <c:v>0.53475935828876997</c:v>
                </c:pt>
                <c:pt idx="14">
                  <c:v>0.5376344086021505</c:v>
                </c:pt>
                <c:pt idx="15">
                  <c:v>0.54054054054054057</c:v>
                </c:pt>
                <c:pt idx="16">
                  <c:v>0.54347826086956519</c:v>
                </c:pt>
                <c:pt idx="17">
                  <c:v>0.54644808743169393</c:v>
                </c:pt>
                <c:pt idx="18">
                  <c:v>0.54945054945054939</c:v>
                </c:pt>
                <c:pt idx="19">
                  <c:v>0.55248618784530379</c:v>
                </c:pt>
                <c:pt idx="20">
                  <c:v>0.55555555555555558</c:v>
                </c:pt>
                <c:pt idx="21">
                  <c:v>0.55865921787709505</c:v>
                </c:pt>
                <c:pt idx="22">
                  <c:v>0.5617977528089888</c:v>
                </c:pt>
                <c:pt idx="23">
                  <c:v>0.56497175141242939</c:v>
                </c:pt>
                <c:pt idx="24">
                  <c:v>0.56818181818181812</c:v>
                </c:pt>
                <c:pt idx="25">
                  <c:v>0.5714285714285714</c:v>
                </c:pt>
                <c:pt idx="26">
                  <c:v>0.57471264367816088</c:v>
                </c:pt>
                <c:pt idx="27">
                  <c:v>0.57803468208092479</c:v>
                </c:pt>
                <c:pt idx="28">
                  <c:v>0.58139534883720922</c:v>
                </c:pt>
                <c:pt idx="29">
                  <c:v>0.58479532163742687</c:v>
                </c:pt>
                <c:pt idx="30">
                  <c:v>0.58823529411764708</c:v>
                </c:pt>
                <c:pt idx="31">
                  <c:v>0.59171597633136097</c:v>
                </c:pt>
                <c:pt idx="32">
                  <c:v>0.59523809523809534</c:v>
                </c:pt>
                <c:pt idx="33">
                  <c:v>0.5988023952095809</c:v>
                </c:pt>
                <c:pt idx="34">
                  <c:v>0.60240963855421692</c:v>
                </c:pt>
                <c:pt idx="35">
                  <c:v>0.60606060606060608</c:v>
                </c:pt>
                <c:pt idx="36">
                  <c:v>0.6097560975609756</c:v>
                </c:pt>
                <c:pt idx="37">
                  <c:v>0.61349693251533743</c:v>
                </c:pt>
                <c:pt idx="38">
                  <c:v>0.61728395061728403</c:v>
                </c:pt>
                <c:pt idx="39">
                  <c:v>0.62111801242236031</c:v>
                </c:pt>
                <c:pt idx="40">
                  <c:v>0.625</c:v>
                </c:pt>
                <c:pt idx="41">
                  <c:v>0.62893081761006275</c:v>
                </c:pt>
                <c:pt idx="42">
                  <c:v>0.63291139240506322</c:v>
                </c:pt>
                <c:pt idx="43">
                  <c:v>0.63694267515923553</c:v>
                </c:pt>
                <c:pt idx="44">
                  <c:v>0.64102564102564097</c:v>
                </c:pt>
                <c:pt idx="45">
                  <c:v>0.64516129032258063</c:v>
                </c:pt>
                <c:pt idx="46">
                  <c:v>0.64935064935064934</c:v>
                </c:pt>
                <c:pt idx="47">
                  <c:v>0.65359477124183007</c:v>
                </c:pt>
                <c:pt idx="48">
                  <c:v>0.65789473684210531</c:v>
                </c:pt>
                <c:pt idx="49">
                  <c:v>0.66225165562913912</c:v>
                </c:pt>
                <c:pt idx="50">
                  <c:v>0.66666666666666674</c:v>
                </c:pt>
                <c:pt idx="51">
                  <c:v>0.67114093959731536</c:v>
                </c:pt>
                <c:pt idx="52">
                  <c:v>0.67567567567567566</c:v>
                </c:pt>
                <c:pt idx="53">
                  <c:v>0.68027210884353739</c:v>
                </c:pt>
                <c:pt idx="54">
                  <c:v>0.68493150684931514</c:v>
                </c:pt>
                <c:pt idx="55">
                  <c:v>0.68965517241379315</c:v>
                </c:pt>
                <c:pt idx="56">
                  <c:v>0.69444444444444442</c:v>
                </c:pt>
                <c:pt idx="57">
                  <c:v>0.69930069930069927</c:v>
                </c:pt>
                <c:pt idx="58">
                  <c:v>0.70422535211267601</c:v>
                </c:pt>
                <c:pt idx="59">
                  <c:v>0.70921985815602828</c:v>
                </c:pt>
                <c:pt idx="60">
                  <c:v>0.7142857142857143</c:v>
                </c:pt>
                <c:pt idx="61">
                  <c:v>0.71942446043165464</c:v>
                </c:pt>
                <c:pt idx="62">
                  <c:v>0.72463768115942029</c:v>
                </c:pt>
                <c:pt idx="63">
                  <c:v>0.72992700729927007</c:v>
                </c:pt>
                <c:pt idx="64">
                  <c:v>0.73529411764705888</c:v>
                </c:pt>
                <c:pt idx="65">
                  <c:v>0.7407407407407407</c:v>
                </c:pt>
                <c:pt idx="66">
                  <c:v>0.74626865671641796</c:v>
                </c:pt>
                <c:pt idx="67">
                  <c:v>0.75187969924812037</c:v>
                </c:pt>
                <c:pt idx="68">
                  <c:v>0.75757575757575757</c:v>
                </c:pt>
                <c:pt idx="69">
                  <c:v>0.76335877862595414</c:v>
                </c:pt>
                <c:pt idx="70">
                  <c:v>0.76923076923076916</c:v>
                </c:pt>
                <c:pt idx="71">
                  <c:v>0.77519379844961234</c:v>
                </c:pt>
                <c:pt idx="72">
                  <c:v>0.78125</c:v>
                </c:pt>
                <c:pt idx="73">
                  <c:v>0.78740157480314954</c:v>
                </c:pt>
                <c:pt idx="74">
                  <c:v>0.79365079365079372</c:v>
                </c:pt>
                <c:pt idx="75">
                  <c:v>0.8</c:v>
                </c:pt>
                <c:pt idx="76">
                  <c:v>0.80645161290322576</c:v>
                </c:pt>
                <c:pt idx="77">
                  <c:v>0.81300813008130079</c:v>
                </c:pt>
                <c:pt idx="78">
                  <c:v>0.81967213114754101</c:v>
                </c:pt>
                <c:pt idx="79">
                  <c:v>0.82644628099173556</c:v>
                </c:pt>
                <c:pt idx="80">
                  <c:v>0.83333333333333337</c:v>
                </c:pt>
                <c:pt idx="81">
                  <c:v>0.84033613445378152</c:v>
                </c:pt>
                <c:pt idx="82">
                  <c:v>0.84745762711864403</c:v>
                </c:pt>
                <c:pt idx="83">
                  <c:v>0.85470085470085466</c:v>
                </c:pt>
                <c:pt idx="84">
                  <c:v>0.86206896551724133</c:v>
                </c:pt>
                <c:pt idx="85">
                  <c:v>0.86956521739130432</c:v>
                </c:pt>
                <c:pt idx="86">
                  <c:v>0.87719298245614041</c:v>
                </c:pt>
                <c:pt idx="87">
                  <c:v>0.88495575221238942</c:v>
                </c:pt>
                <c:pt idx="88">
                  <c:v>0.8928571428571429</c:v>
                </c:pt>
                <c:pt idx="89">
                  <c:v>0.90090090090090091</c:v>
                </c:pt>
                <c:pt idx="90">
                  <c:v>0.90909090909090917</c:v>
                </c:pt>
                <c:pt idx="91">
                  <c:v>0.91743119266055051</c:v>
                </c:pt>
                <c:pt idx="92">
                  <c:v>0.92592592592592593</c:v>
                </c:pt>
                <c:pt idx="93">
                  <c:v>0.93457943925233644</c:v>
                </c:pt>
                <c:pt idx="94">
                  <c:v>0.94339622641509424</c:v>
                </c:pt>
                <c:pt idx="95">
                  <c:v>0.95238095238095233</c:v>
                </c:pt>
                <c:pt idx="96">
                  <c:v>0.96153846153846145</c:v>
                </c:pt>
                <c:pt idx="97">
                  <c:v>0.970873786407767</c:v>
                </c:pt>
                <c:pt idx="98">
                  <c:v>0.98039215686274506</c:v>
                </c:pt>
                <c:pt idx="99">
                  <c:v>0.99009900990099009</c:v>
                </c:pt>
                <c:pt idx="10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03-4663-8C95-DBE94D622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防御乘区!$C$1</c:f>
              <c:strCache>
                <c:ptCount val="1"/>
                <c:pt idx="0">
                  <c:v>每+1%边际收益</c:v>
                </c:pt>
              </c:strCache>
            </c:strRef>
          </c:tx>
          <c:spPr>
            <a:ln w="22000">
              <a:solidFill>
                <a:srgbClr val="2A9D8F"/>
              </a:solidFill>
              <a:prstDash val="solid"/>
            </a:ln>
          </c:spPr>
          <c:marker>
            <c:symbol val="none"/>
          </c:marker>
          <c:cat>
            <c:numRef>
              <c:f>防御乘区!$A$2:$A$102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防御乘区!$C$2:$C$102</c:f>
              <c:numCache>
                <c:formatCode>0.00%</c:formatCode>
                <c:ptCount val="101"/>
                <c:pt idx="0">
                  <c:v>5.0251256281406143E-3</c:v>
                </c:pt>
                <c:pt idx="1">
                  <c:v>5.050505050504972E-3</c:v>
                </c:pt>
                <c:pt idx="2">
                  <c:v>5.0761421319798217E-3</c:v>
                </c:pt>
                <c:pt idx="3">
                  <c:v>5.1020408163267028E-3</c:v>
                </c:pt>
                <c:pt idx="4">
                  <c:v>5.12820512820511E-3</c:v>
                </c:pt>
                <c:pt idx="5">
                  <c:v>5.1546391752577136E-3</c:v>
                </c:pt>
                <c:pt idx="6">
                  <c:v>5.1813471502593078E-3</c:v>
                </c:pt>
                <c:pt idx="7">
                  <c:v>5.2083333333330373E-3</c:v>
                </c:pt>
                <c:pt idx="8">
                  <c:v>5.2356020942410098E-3</c:v>
                </c:pt>
                <c:pt idx="9">
                  <c:v>5.2631578947370805E-3</c:v>
                </c:pt>
                <c:pt idx="10">
                  <c:v>5.2910052910051242E-3</c:v>
                </c:pt>
                <c:pt idx="11">
                  <c:v>5.3191489361703592E-3</c:v>
                </c:pt>
                <c:pt idx="12">
                  <c:v>5.3475935828874999E-3</c:v>
                </c:pt>
                <c:pt idx="13">
                  <c:v>5.3763440860215006E-3</c:v>
                </c:pt>
                <c:pt idx="14">
                  <c:v>5.4054054054055722E-3</c:v>
                </c:pt>
                <c:pt idx="15">
                  <c:v>5.4347826086955653E-3</c:v>
                </c:pt>
                <c:pt idx="16">
                  <c:v>5.464480874316946E-3</c:v>
                </c:pt>
                <c:pt idx="17">
                  <c:v>5.494505494505475E-3</c:v>
                </c:pt>
                <c:pt idx="18">
                  <c:v>5.5248618784529135E-3</c:v>
                </c:pt>
                <c:pt idx="19">
                  <c:v>5.5555555555557579E-3</c:v>
                </c:pt>
                <c:pt idx="20">
                  <c:v>5.5865921787709993E-3</c:v>
                </c:pt>
                <c:pt idx="21">
                  <c:v>5.6179775280897903E-3</c:v>
                </c:pt>
                <c:pt idx="22">
                  <c:v>5.6497175141243527E-3</c:v>
                </c:pt>
                <c:pt idx="23">
                  <c:v>5.6818181818181213E-3</c:v>
                </c:pt>
                <c:pt idx="24">
                  <c:v>5.7142857142857828E-3</c:v>
                </c:pt>
                <c:pt idx="25">
                  <c:v>5.7471264367816577E-3</c:v>
                </c:pt>
                <c:pt idx="26">
                  <c:v>5.7803468208093012E-3</c:v>
                </c:pt>
                <c:pt idx="27">
                  <c:v>5.8139534883721034E-3</c:v>
                </c:pt>
                <c:pt idx="28">
                  <c:v>5.8479532163744352E-3</c:v>
                </c:pt>
                <c:pt idx="29">
                  <c:v>5.8823529411764497E-3</c:v>
                </c:pt>
                <c:pt idx="30">
                  <c:v>5.9171597633136397E-3</c:v>
                </c:pt>
                <c:pt idx="31">
                  <c:v>5.9523809523811533E-3</c:v>
                </c:pt>
                <c:pt idx="32">
                  <c:v>5.9880239520957446E-3</c:v>
                </c:pt>
                <c:pt idx="33">
                  <c:v>6.0240963855422436E-3</c:v>
                </c:pt>
                <c:pt idx="34">
                  <c:v>6.0606060606060996E-3</c:v>
                </c:pt>
                <c:pt idx="35">
                  <c:v>6.0975609756097615E-3</c:v>
                </c:pt>
                <c:pt idx="36">
                  <c:v>6.1349693251533388E-3</c:v>
                </c:pt>
                <c:pt idx="37">
                  <c:v>6.1728395061728669E-3</c:v>
                </c:pt>
                <c:pt idx="38">
                  <c:v>6.2111801242235032E-3</c:v>
                </c:pt>
                <c:pt idx="39">
                  <c:v>6.2499999999998668E-3</c:v>
                </c:pt>
                <c:pt idx="40">
                  <c:v>6.2893081761004055E-3</c:v>
                </c:pt>
                <c:pt idx="41">
                  <c:v>6.3291139240506666E-3</c:v>
                </c:pt>
                <c:pt idx="42">
                  <c:v>6.3694267515921332E-3</c:v>
                </c:pt>
                <c:pt idx="43">
                  <c:v>6.4102564102566095E-3</c:v>
                </c:pt>
                <c:pt idx="44">
                  <c:v>6.4516129032259339E-3</c:v>
                </c:pt>
                <c:pt idx="45">
                  <c:v>6.4935064935065512E-3</c:v>
                </c:pt>
                <c:pt idx="46">
                  <c:v>6.5359477124182774E-3</c:v>
                </c:pt>
                <c:pt idx="47">
                  <c:v>6.5789473684210176E-3</c:v>
                </c:pt>
                <c:pt idx="48">
                  <c:v>6.6225165562914245E-3</c:v>
                </c:pt>
                <c:pt idx="49">
                  <c:v>6.6666666666665986E-3</c:v>
                </c:pt>
                <c:pt idx="50">
                  <c:v>6.7114093959728116E-3</c:v>
                </c:pt>
                <c:pt idx="51">
                  <c:v>6.7567567567567988E-3</c:v>
                </c:pt>
                <c:pt idx="52">
                  <c:v>6.8027210884353817E-3</c:v>
                </c:pt>
                <c:pt idx="53">
                  <c:v>6.8493150684934001E-3</c:v>
                </c:pt>
                <c:pt idx="54">
                  <c:v>6.8965517241379448E-3</c:v>
                </c:pt>
                <c:pt idx="55">
                  <c:v>6.9444444444444198E-3</c:v>
                </c:pt>
                <c:pt idx="56">
                  <c:v>6.9930069930070893E-3</c:v>
                </c:pt>
                <c:pt idx="57">
                  <c:v>7.0422535211267512E-3</c:v>
                </c:pt>
                <c:pt idx="58">
                  <c:v>7.0921985815601829E-3</c:v>
                </c:pt>
                <c:pt idx="59">
                  <c:v>7.1428571428573395E-3</c:v>
                </c:pt>
                <c:pt idx="60">
                  <c:v>7.194244604316502E-3</c:v>
                </c:pt>
                <c:pt idx="61">
                  <c:v>7.2463768115942351E-3</c:v>
                </c:pt>
                <c:pt idx="62">
                  <c:v>7.2992700729928028E-3</c:v>
                </c:pt>
                <c:pt idx="63">
                  <c:v>7.3529411764705621E-3</c:v>
                </c:pt>
                <c:pt idx="64">
                  <c:v>7.4074074074073071E-3</c:v>
                </c:pt>
                <c:pt idx="65">
                  <c:v>7.4626865671643117E-3</c:v>
                </c:pt>
                <c:pt idx="66">
                  <c:v>7.5187969924812581E-3</c:v>
                </c:pt>
                <c:pt idx="67">
                  <c:v>7.575757575757569E-3</c:v>
                </c:pt>
                <c:pt idx="68">
                  <c:v>7.6335877862594437E-3</c:v>
                </c:pt>
                <c:pt idx="69">
                  <c:v>7.692307692307665E-3</c:v>
                </c:pt>
                <c:pt idx="70">
                  <c:v>7.7519379844961378E-3</c:v>
                </c:pt>
                <c:pt idx="71">
                  <c:v>7.8125E-3</c:v>
                </c:pt>
                <c:pt idx="72">
                  <c:v>7.8740157480314821E-3</c:v>
                </c:pt>
                <c:pt idx="73">
                  <c:v>7.9365079365081304E-3</c:v>
                </c:pt>
                <c:pt idx="74">
                  <c:v>8.0000000000000071E-3</c:v>
                </c:pt>
                <c:pt idx="75">
                  <c:v>8.0645161290320289E-3</c:v>
                </c:pt>
                <c:pt idx="76">
                  <c:v>8.1300813008129413E-3</c:v>
                </c:pt>
                <c:pt idx="77">
                  <c:v>8.19672131147553E-3</c:v>
                </c:pt>
                <c:pt idx="78">
                  <c:v>8.2644628099173278E-3</c:v>
                </c:pt>
                <c:pt idx="79">
                  <c:v>8.3333333333333037E-3</c:v>
                </c:pt>
                <c:pt idx="80">
                  <c:v>8.4033613445377853E-3</c:v>
                </c:pt>
                <c:pt idx="81">
                  <c:v>8.4745762711864181E-3</c:v>
                </c:pt>
                <c:pt idx="82">
                  <c:v>8.5470085470085166E-3</c:v>
                </c:pt>
                <c:pt idx="83">
                  <c:v>8.6206896551723755E-3</c:v>
                </c:pt>
                <c:pt idx="84">
                  <c:v>8.6956521739129933E-3</c:v>
                </c:pt>
                <c:pt idx="85">
                  <c:v>8.7719298245614308E-3</c:v>
                </c:pt>
                <c:pt idx="86">
                  <c:v>8.8495575221239076E-3</c:v>
                </c:pt>
                <c:pt idx="87">
                  <c:v>8.9285714285713969E-3</c:v>
                </c:pt>
                <c:pt idx="88">
                  <c:v>9.009009009008917E-3</c:v>
                </c:pt>
                <c:pt idx="89">
                  <c:v>9.0909090909092605E-3</c:v>
                </c:pt>
                <c:pt idx="90">
                  <c:v>9.1743119266054496E-3</c:v>
                </c:pt>
                <c:pt idx="91">
                  <c:v>9.2592592592593004E-3</c:v>
                </c:pt>
                <c:pt idx="92">
                  <c:v>9.3457943925232545E-3</c:v>
                </c:pt>
                <c:pt idx="93">
                  <c:v>9.4339622641508303E-3</c:v>
                </c:pt>
                <c:pt idx="94">
                  <c:v>9.52380952380949E-3</c:v>
                </c:pt>
                <c:pt idx="95">
                  <c:v>9.6153846153845812E-3</c:v>
                </c:pt>
                <c:pt idx="96">
                  <c:v>9.7087378640776656E-3</c:v>
                </c:pt>
                <c:pt idx="97">
                  <c:v>9.8039215686274161E-3</c:v>
                </c:pt>
                <c:pt idx="98">
                  <c:v>9.9009900990099098E-3</c:v>
                </c:pt>
                <c:pt idx="99">
                  <c:v>1.0000000000000009E-2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03-4663-8C95-DBE94D6221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减防</a:t>
                </a:r>
                <a:r>
                  <a:rPr lang="en-US" altLang="zh-CN"/>
                  <a:t>/</a:t>
                </a:r>
                <a:r>
                  <a:rPr lang="zh-CN" altLang="en-US"/>
                  <a:t>无视防御</a:t>
                </a:r>
                <a:r>
                  <a:rPr lang="en-US" altLang="zh-CN"/>
                  <a:t>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乘区系数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每</a:t>
                </a:r>
                <a:r>
                  <a:rPr lang="en-US" altLang="zh-CN"/>
                  <a:t>+1%</a:t>
                </a:r>
                <a:r>
                  <a:rPr lang="zh-CN" altLang="en-US"/>
                  <a:t>边际收益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抗性乘区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抗性乘区!$B$1</c:f>
              <c:strCache>
                <c:ptCount val="1"/>
                <c:pt idx="0">
                  <c:v>乘区系数</c:v>
                </c:pt>
              </c:strCache>
            </c:strRef>
          </c:tx>
          <c:spPr>
            <a:ln w="24000">
              <a:solidFill>
                <a:srgbClr val="E76F51"/>
              </a:solidFill>
              <a:prstDash val="solid"/>
            </a:ln>
          </c:spPr>
          <c:marker>
            <c:symbol val="none"/>
          </c:marker>
          <c:cat>
            <c:numRef>
              <c:f>抗性乘区!$A$2:$A$122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抗性乘区!$B$2:$B$122</c:f>
              <c:numCache>
                <c:formatCode>0.0000</c:formatCode>
                <c:ptCount val="121"/>
                <c:pt idx="0">
                  <c:v>0.8</c:v>
                </c:pt>
                <c:pt idx="1">
                  <c:v>0.81</c:v>
                </c:pt>
                <c:pt idx="2">
                  <c:v>0.82000000000000006</c:v>
                </c:pt>
                <c:pt idx="3">
                  <c:v>0.83</c:v>
                </c:pt>
                <c:pt idx="4">
                  <c:v>0.84</c:v>
                </c:pt>
                <c:pt idx="5">
                  <c:v>0.85</c:v>
                </c:pt>
                <c:pt idx="6">
                  <c:v>0.86</c:v>
                </c:pt>
                <c:pt idx="7">
                  <c:v>0.87</c:v>
                </c:pt>
                <c:pt idx="8">
                  <c:v>0.88</c:v>
                </c:pt>
                <c:pt idx="9">
                  <c:v>0.89</c:v>
                </c:pt>
                <c:pt idx="10">
                  <c:v>0.9</c:v>
                </c:pt>
                <c:pt idx="11">
                  <c:v>0.91</c:v>
                </c:pt>
                <c:pt idx="12">
                  <c:v>0.92</c:v>
                </c:pt>
                <c:pt idx="13">
                  <c:v>0.92999999999999994</c:v>
                </c:pt>
                <c:pt idx="14">
                  <c:v>0.94</c:v>
                </c:pt>
                <c:pt idx="15">
                  <c:v>0.95</c:v>
                </c:pt>
                <c:pt idx="16">
                  <c:v>0.96</c:v>
                </c:pt>
                <c:pt idx="17">
                  <c:v>0.97</c:v>
                </c:pt>
                <c:pt idx="18">
                  <c:v>0.98</c:v>
                </c:pt>
                <c:pt idx="19">
                  <c:v>0.99</c:v>
                </c:pt>
                <c:pt idx="20">
                  <c:v>1</c:v>
                </c:pt>
                <c:pt idx="21">
                  <c:v>1.01</c:v>
                </c:pt>
                <c:pt idx="22">
                  <c:v>1.02</c:v>
                </c:pt>
                <c:pt idx="23">
                  <c:v>1.03</c:v>
                </c:pt>
                <c:pt idx="24">
                  <c:v>1.04</c:v>
                </c:pt>
                <c:pt idx="25">
                  <c:v>1.05</c:v>
                </c:pt>
                <c:pt idx="26">
                  <c:v>1.06</c:v>
                </c:pt>
                <c:pt idx="27">
                  <c:v>1.07</c:v>
                </c:pt>
                <c:pt idx="28">
                  <c:v>1.08</c:v>
                </c:pt>
                <c:pt idx="29">
                  <c:v>1.0900000000000001</c:v>
                </c:pt>
                <c:pt idx="30">
                  <c:v>1.1000000000000001</c:v>
                </c:pt>
                <c:pt idx="31">
                  <c:v>1.1100000000000001</c:v>
                </c:pt>
                <c:pt idx="32">
                  <c:v>1.1200000000000001</c:v>
                </c:pt>
                <c:pt idx="33">
                  <c:v>1.1299999999999999</c:v>
                </c:pt>
                <c:pt idx="34">
                  <c:v>1.1400000000000001</c:v>
                </c:pt>
                <c:pt idx="35">
                  <c:v>1.1499999999999999</c:v>
                </c:pt>
                <c:pt idx="36">
                  <c:v>1.1599999999999999</c:v>
                </c:pt>
                <c:pt idx="37">
                  <c:v>1.17</c:v>
                </c:pt>
                <c:pt idx="38">
                  <c:v>1.18</c:v>
                </c:pt>
                <c:pt idx="39">
                  <c:v>1.19</c:v>
                </c:pt>
                <c:pt idx="40">
                  <c:v>1.2</c:v>
                </c:pt>
                <c:pt idx="41">
                  <c:v>1.21</c:v>
                </c:pt>
                <c:pt idx="42">
                  <c:v>1.22</c:v>
                </c:pt>
                <c:pt idx="43">
                  <c:v>1.23</c:v>
                </c:pt>
                <c:pt idx="44">
                  <c:v>1.24</c:v>
                </c:pt>
                <c:pt idx="45">
                  <c:v>1.25</c:v>
                </c:pt>
                <c:pt idx="46">
                  <c:v>1.26</c:v>
                </c:pt>
                <c:pt idx="47">
                  <c:v>1.27</c:v>
                </c:pt>
                <c:pt idx="48">
                  <c:v>1.28</c:v>
                </c:pt>
                <c:pt idx="49">
                  <c:v>1.29</c:v>
                </c:pt>
                <c:pt idx="50">
                  <c:v>1.3</c:v>
                </c:pt>
                <c:pt idx="51">
                  <c:v>1.31</c:v>
                </c:pt>
                <c:pt idx="52">
                  <c:v>1.32</c:v>
                </c:pt>
                <c:pt idx="53">
                  <c:v>1.33</c:v>
                </c:pt>
                <c:pt idx="54">
                  <c:v>1.34</c:v>
                </c:pt>
                <c:pt idx="55">
                  <c:v>1.35</c:v>
                </c:pt>
                <c:pt idx="56">
                  <c:v>1.3599999999999999</c:v>
                </c:pt>
                <c:pt idx="57">
                  <c:v>1.37</c:v>
                </c:pt>
                <c:pt idx="58">
                  <c:v>1.38</c:v>
                </c:pt>
                <c:pt idx="59">
                  <c:v>1.3900000000000001</c:v>
                </c:pt>
                <c:pt idx="60">
                  <c:v>1.4</c:v>
                </c:pt>
                <c:pt idx="61">
                  <c:v>1.41</c:v>
                </c:pt>
                <c:pt idx="62">
                  <c:v>1.42</c:v>
                </c:pt>
                <c:pt idx="63">
                  <c:v>1.43</c:v>
                </c:pt>
                <c:pt idx="64">
                  <c:v>1.44</c:v>
                </c:pt>
                <c:pt idx="65">
                  <c:v>1.45</c:v>
                </c:pt>
                <c:pt idx="66">
                  <c:v>1.46</c:v>
                </c:pt>
                <c:pt idx="67">
                  <c:v>1.47</c:v>
                </c:pt>
                <c:pt idx="68">
                  <c:v>1.48</c:v>
                </c:pt>
                <c:pt idx="69">
                  <c:v>1.49</c:v>
                </c:pt>
                <c:pt idx="70">
                  <c:v>1.5</c:v>
                </c:pt>
                <c:pt idx="71">
                  <c:v>1.51</c:v>
                </c:pt>
                <c:pt idx="72">
                  <c:v>1.52</c:v>
                </c:pt>
                <c:pt idx="73">
                  <c:v>1.53</c:v>
                </c:pt>
                <c:pt idx="74">
                  <c:v>1.54</c:v>
                </c:pt>
                <c:pt idx="75">
                  <c:v>1.55</c:v>
                </c:pt>
                <c:pt idx="76">
                  <c:v>1.56</c:v>
                </c:pt>
                <c:pt idx="77">
                  <c:v>1.5699999999999998</c:v>
                </c:pt>
                <c:pt idx="78">
                  <c:v>1.58</c:v>
                </c:pt>
                <c:pt idx="79">
                  <c:v>1.5899999999999999</c:v>
                </c:pt>
                <c:pt idx="80">
                  <c:v>1.6</c:v>
                </c:pt>
                <c:pt idx="81">
                  <c:v>1.6099999999999999</c:v>
                </c:pt>
                <c:pt idx="82">
                  <c:v>1.62</c:v>
                </c:pt>
                <c:pt idx="83">
                  <c:v>1.63</c:v>
                </c:pt>
                <c:pt idx="84">
                  <c:v>1.6400000000000001</c:v>
                </c:pt>
                <c:pt idx="85">
                  <c:v>1.65</c:v>
                </c:pt>
                <c:pt idx="86">
                  <c:v>1.6600000000000001</c:v>
                </c:pt>
                <c:pt idx="87">
                  <c:v>1.67</c:v>
                </c:pt>
                <c:pt idx="88">
                  <c:v>1.6800000000000002</c:v>
                </c:pt>
                <c:pt idx="89">
                  <c:v>1.69</c:v>
                </c:pt>
                <c:pt idx="90">
                  <c:v>1.7</c:v>
                </c:pt>
                <c:pt idx="91">
                  <c:v>1.71</c:v>
                </c:pt>
                <c:pt idx="92">
                  <c:v>1.72</c:v>
                </c:pt>
                <c:pt idx="93">
                  <c:v>1.73</c:v>
                </c:pt>
                <c:pt idx="94">
                  <c:v>1.74</c:v>
                </c:pt>
                <c:pt idx="95">
                  <c:v>1.75</c:v>
                </c:pt>
                <c:pt idx="96">
                  <c:v>1.76</c:v>
                </c:pt>
                <c:pt idx="97">
                  <c:v>1.77</c:v>
                </c:pt>
                <c:pt idx="98">
                  <c:v>1.78</c:v>
                </c:pt>
                <c:pt idx="99">
                  <c:v>1.79</c:v>
                </c:pt>
                <c:pt idx="100">
                  <c:v>1.8</c:v>
                </c:pt>
                <c:pt idx="101">
                  <c:v>1.81</c:v>
                </c:pt>
                <c:pt idx="102">
                  <c:v>1.8199999999999998</c:v>
                </c:pt>
                <c:pt idx="103">
                  <c:v>1.83</c:v>
                </c:pt>
                <c:pt idx="104">
                  <c:v>1.8399999999999999</c:v>
                </c:pt>
                <c:pt idx="105">
                  <c:v>1.85</c:v>
                </c:pt>
                <c:pt idx="106">
                  <c:v>1.8599999999999999</c:v>
                </c:pt>
                <c:pt idx="107">
                  <c:v>1.87</c:v>
                </c:pt>
                <c:pt idx="108">
                  <c:v>1.88</c:v>
                </c:pt>
                <c:pt idx="109">
                  <c:v>1.8900000000000001</c:v>
                </c:pt>
                <c:pt idx="110">
                  <c:v>1.9</c:v>
                </c:pt>
                <c:pt idx="111">
                  <c:v>1.9100000000000001</c:v>
                </c:pt>
                <c:pt idx="112">
                  <c:v>1.92</c:v>
                </c:pt>
                <c:pt idx="113">
                  <c:v>1.9300000000000002</c:v>
                </c:pt>
                <c:pt idx="114">
                  <c:v>1.94</c:v>
                </c:pt>
                <c:pt idx="115">
                  <c:v>1.95</c:v>
                </c:pt>
                <c:pt idx="116">
                  <c:v>1.96</c:v>
                </c:pt>
                <c:pt idx="117">
                  <c:v>1.97</c:v>
                </c:pt>
                <c:pt idx="118">
                  <c:v>1.98</c:v>
                </c:pt>
                <c:pt idx="119">
                  <c:v>1.99</c:v>
                </c:pt>
                <c:pt idx="120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0A-47F9-829E-EFE6F50E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抗性乘区!$C$1</c:f>
              <c:strCache>
                <c:ptCount val="1"/>
                <c:pt idx="0">
                  <c:v>每+1%边际收益</c:v>
                </c:pt>
              </c:strCache>
            </c:strRef>
          </c:tx>
          <c:spPr>
            <a:ln w="22000">
              <a:solidFill>
                <a:srgbClr val="2A9D8F"/>
              </a:solidFill>
              <a:prstDash val="solid"/>
            </a:ln>
          </c:spPr>
          <c:marker>
            <c:symbol val="none"/>
          </c:marker>
          <c:cat>
            <c:numRef>
              <c:f>抗性乘区!$A$2:$A$122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cat>
          <c:val>
            <c:numRef>
              <c:f>抗性乘区!$C$2:$C$122</c:f>
              <c:numCache>
                <c:formatCode>0.00%</c:formatCode>
                <c:ptCount val="121"/>
                <c:pt idx="0">
                  <c:v>1.2499999999999956E-2</c:v>
                </c:pt>
                <c:pt idx="1">
                  <c:v>1.2345679012345734E-2</c:v>
                </c:pt>
                <c:pt idx="2">
                  <c:v>1.2195121951219301E-2</c:v>
                </c:pt>
                <c:pt idx="3">
                  <c:v>1.2048192771084265E-2</c:v>
                </c:pt>
                <c:pt idx="4">
                  <c:v>1.1904761904761862E-2</c:v>
                </c:pt>
                <c:pt idx="5">
                  <c:v>1.1764705882352899E-2</c:v>
                </c:pt>
                <c:pt idx="6">
                  <c:v>1.1627906976744207E-2</c:v>
                </c:pt>
                <c:pt idx="7">
                  <c:v>1.1494252873563315E-2</c:v>
                </c:pt>
                <c:pt idx="8">
                  <c:v>1.1363636363636465E-2</c:v>
                </c:pt>
                <c:pt idx="9">
                  <c:v>1.1235955056179803E-2</c:v>
                </c:pt>
                <c:pt idx="10">
                  <c:v>1.1111111111111072E-2</c:v>
                </c:pt>
                <c:pt idx="11">
                  <c:v>1.098901098901095E-2</c:v>
                </c:pt>
                <c:pt idx="12">
                  <c:v>1.0869565217391131E-2</c:v>
                </c:pt>
                <c:pt idx="13">
                  <c:v>1.0752688172043001E-2</c:v>
                </c:pt>
                <c:pt idx="14">
                  <c:v>1.0638297872340496E-2</c:v>
                </c:pt>
                <c:pt idx="15">
                  <c:v>1.0526315789473717E-2</c:v>
                </c:pt>
                <c:pt idx="16">
                  <c:v>1.0416666666666741E-2</c:v>
                </c:pt>
                <c:pt idx="17">
                  <c:v>1.0309278350515427E-2</c:v>
                </c:pt>
                <c:pt idx="18">
                  <c:v>1.0204081632652962E-2</c:v>
                </c:pt>
                <c:pt idx="19">
                  <c:v>1.0101010101010166E-2</c:v>
                </c:pt>
                <c:pt idx="20">
                  <c:v>1.0000000000000009E-2</c:v>
                </c:pt>
                <c:pt idx="21">
                  <c:v>9.9009900990099098E-3</c:v>
                </c:pt>
                <c:pt idx="22">
                  <c:v>9.8039215686274161E-3</c:v>
                </c:pt>
                <c:pt idx="23">
                  <c:v>9.7087378640776656E-3</c:v>
                </c:pt>
                <c:pt idx="24">
                  <c:v>9.6153846153845812E-3</c:v>
                </c:pt>
                <c:pt idx="25">
                  <c:v>9.52380952380949E-3</c:v>
                </c:pt>
                <c:pt idx="26">
                  <c:v>9.4339622641510523E-3</c:v>
                </c:pt>
                <c:pt idx="27">
                  <c:v>9.3457943925234765E-3</c:v>
                </c:pt>
                <c:pt idx="28">
                  <c:v>9.2592592592593004E-3</c:v>
                </c:pt>
                <c:pt idx="29">
                  <c:v>9.1743119266054496E-3</c:v>
                </c:pt>
                <c:pt idx="30">
                  <c:v>9.0909090909090384E-3</c:v>
                </c:pt>
                <c:pt idx="31">
                  <c:v>9.009009009008917E-3</c:v>
                </c:pt>
                <c:pt idx="32">
                  <c:v>8.9285714285711748E-3</c:v>
                </c:pt>
                <c:pt idx="33">
                  <c:v>8.8495575221241296E-3</c:v>
                </c:pt>
                <c:pt idx="34">
                  <c:v>8.7719298245612087E-3</c:v>
                </c:pt>
                <c:pt idx="35">
                  <c:v>8.6956521739129933E-3</c:v>
                </c:pt>
                <c:pt idx="36">
                  <c:v>8.6206896551723755E-3</c:v>
                </c:pt>
                <c:pt idx="37">
                  <c:v>8.5470085470085166E-3</c:v>
                </c:pt>
                <c:pt idx="38">
                  <c:v>8.4745762711864181E-3</c:v>
                </c:pt>
                <c:pt idx="39">
                  <c:v>8.4033613445377853E-3</c:v>
                </c:pt>
                <c:pt idx="40">
                  <c:v>8.3333333333333037E-3</c:v>
                </c:pt>
                <c:pt idx="41">
                  <c:v>8.2644628099173278E-3</c:v>
                </c:pt>
                <c:pt idx="42">
                  <c:v>8.1967213114753079E-3</c:v>
                </c:pt>
                <c:pt idx="43">
                  <c:v>8.1300813008129413E-3</c:v>
                </c:pt>
                <c:pt idx="44">
                  <c:v>8.0645161290322509E-3</c:v>
                </c:pt>
                <c:pt idx="45">
                  <c:v>8.0000000000000071E-3</c:v>
                </c:pt>
                <c:pt idx="46">
                  <c:v>7.9365079365079083E-3</c:v>
                </c:pt>
                <c:pt idx="47">
                  <c:v>7.8740157480314821E-3</c:v>
                </c:pt>
                <c:pt idx="48">
                  <c:v>7.8125E-3</c:v>
                </c:pt>
                <c:pt idx="49">
                  <c:v>7.7519379844961378E-3</c:v>
                </c:pt>
                <c:pt idx="50">
                  <c:v>7.692307692307665E-3</c:v>
                </c:pt>
                <c:pt idx="51">
                  <c:v>7.6335877862594437E-3</c:v>
                </c:pt>
                <c:pt idx="52">
                  <c:v>7.575757575757569E-3</c:v>
                </c:pt>
                <c:pt idx="53">
                  <c:v>7.5187969924812581E-3</c:v>
                </c:pt>
                <c:pt idx="54">
                  <c:v>7.4626865671640896E-3</c:v>
                </c:pt>
                <c:pt idx="55">
                  <c:v>7.4074074074073071E-3</c:v>
                </c:pt>
                <c:pt idx="56">
                  <c:v>7.3529411764707842E-3</c:v>
                </c:pt>
                <c:pt idx="57">
                  <c:v>7.2992700729925808E-3</c:v>
                </c:pt>
                <c:pt idx="58">
                  <c:v>7.2463768115944571E-3</c:v>
                </c:pt>
                <c:pt idx="59">
                  <c:v>7.194244604316502E-3</c:v>
                </c:pt>
                <c:pt idx="60">
                  <c:v>7.1428571428571175E-3</c:v>
                </c:pt>
                <c:pt idx="61">
                  <c:v>7.0921985815601829E-3</c:v>
                </c:pt>
                <c:pt idx="62">
                  <c:v>7.0422535211267512E-3</c:v>
                </c:pt>
                <c:pt idx="63">
                  <c:v>6.9930069930070893E-3</c:v>
                </c:pt>
                <c:pt idx="64">
                  <c:v>6.9444444444444198E-3</c:v>
                </c:pt>
                <c:pt idx="65">
                  <c:v>6.8965517241379448E-3</c:v>
                </c:pt>
                <c:pt idx="66">
                  <c:v>6.8493150684931781E-3</c:v>
                </c:pt>
                <c:pt idx="67">
                  <c:v>6.8027210884353817E-3</c:v>
                </c:pt>
                <c:pt idx="68">
                  <c:v>6.7567567567567988E-3</c:v>
                </c:pt>
                <c:pt idx="69">
                  <c:v>6.7114093959732557E-3</c:v>
                </c:pt>
                <c:pt idx="70">
                  <c:v>6.6666666666665986E-3</c:v>
                </c:pt>
                <c:pt idx="71">
                  <c:v>6.6225165562914245E-3</c:v>
                </c:pt>
                <c:pt idx="72">
                  <c:v>6.5789473684210176E-3</c:v>
                </c:pt>
                <c:pt idx="73">
                  <c:v>6.5359477124182774E-3</c:v>
                </c:pt>
                <c:pt idx="74">
                  <c:v>6.4935064935065512E-3</c:v>
                </c:pt>
                <c:pt idx="75">
                  <c:v>6.4516129032257119E-3</c:v>
                </c:pt>
                <c:pt idx="76">
                  <c:v>6.4102564102561654E-3</c:v>
                </c:pt>
                <c:pt idx="77">
                  <c:v>6.3694267515925773E-3</c:v>
                </c:pt>
                <c:pt idx="78">
                  <c:v>6.3291139240504446E-3</c:v>
                </c:pt>
                <c:pt idx="79">
                  <c:v>6.2893081761008496E-3</c:v>
                </c:pt>
                <c:pt idx="80">
                  <c:v>6.2499999999998668E-3</c:v>
                </c:pt>
                <c:pt idx="81">
                  <c:v>6.2111801242237252E-3</c:v>
                </c:pt>
                <c:pt idx="82">
                  <c:v>6.1728395061726449E-3</c:v>
                </c:pt>
                <c:pt idx="83">
                  <c:v>6.1349693251535609E-3</c:v>
                </c:pt>
                <c:pt idx="84">
                  <c:v>6.0975609756095395E-3</c:v>
                </c:pt>
                <c:pt idx="85">
                  <c:v>6.0606060606060996E-3</c:v>
                </c:pt>
                <c:pt idx="86">
                  <c:v>6.0240963855420215E-3</c:v>
                </c:pt>
                <c:pt idx="87">
                  <c:v>5.9880239520959666E-3</c:v>
                </c:pt>
                <c:pt idx="88">
                  <c:v>5.9523809523809312E-3</c:v>
                </c:pt>
                <c:pt idx="89">
                  <c:v>5.9171597633136397E-3</c:v>
                </c:pt>
                <c:pt idx="90">
                  <c:v>5.8823529411764497E-3</c:v>
                </c:pt>
                <c:pt idx="91">
                  <c:v>5.8479532163742132E-3</c:v>
                </c:pt>
                <c:pt idx="92">
                  <c:v>5.8139534883721034E-3</c:v>
                </c:pt>
                <c:pt idx="93">
                  <c:v>5.7803468208093012E-3</c:v>
                </c:pt>
                <c:pt idx="94">
                  <c:v>5.7471264367816577E-3</c:v>
                </c:pt>
                <c:pt idx="95">
                  <c:v>5.7142857142857828E-3</c:v>
                </c:pt>
                <c:pt idx="96">
                  <c:v>5.6818181818181213E-3</c:v>
                </c:pt>
                <c:pt idx="97">
                  <c:v>5.6497175141243527E-3</c:v>
                </c:pt>
                <c:pt idx="98">
                  <c:v>5.6179775280897903E-3</c:v>
                </c:pt>
                <c:pt idx="99">
                  <c:v>5.5865921787709993E-3</c:v>
                </c:pt>
                <c:pt idx="100">
                  <c:v>5.5555555555555358E-3</c:v>
                </c:pt>
                <c:pt idx="101">
                  <c:v>5.5248618784529135E-3</c:v>
                </c:pt>
                <c:pt idx="102">
                  <c:v>5.494505494505697E-3</c:v>
                </c:pt>
                <c:pt idx="103">
                  <c:v>5.4644808743167239E-3</c:v>
                </c:pt>
                <c:pt idx="104">
                  <c:v>5.4347826086957873E-3</c:v>
                </c:pt>
                <c:pt idx="105">
                  <c:v>5.4054054054053502E-3</c:v>
                </c:pt>
                <c:pt idx="106">
                  <c:v>5.3763440860217226E-3</c:v>
                </c:pt>
                <c:pt idx="107">
                  <c:v>5.3475935828874999E-3</c:v>
                </c:pt>
                <c:pt idx="108">
                  <c:v>5.3191489361703592E-3</c:v>
                </c:pt>
                <c:pt idx="109">
                  <c:v>5.2910052910051242E-3</c:v>
                </c:pt>
                <c:pt idx="110">
                  <c:v>5.2631578947368585E-3</c:v>
                </c:pt>
                <c:pt idx="111">
                  <c:v>5.2356020942407877E-3</c:v>
                </c:pt>
                <c:pt idx="112">
                  <c:v>5.2083333333334814E-3</c:v>
                </c:pt>
                <c:pt idx="113">
                  <c:v>5.1813471502588637E-3</c:v>
                </c:pt>
                <c:pt idx="114">
                  <c:v>5.1546391752577136E-3</c:v>
                </c:pt>
                <c:pt idx="115">
                  <c:v>5.12820512820511E-3</c:v>
                </c:pt>
                <c:pt idx="116">
                  <c:v>5.1020408163264808E-3</c:v>
                </c:pt>
                <c:pt idx="117">
                  <c:v>5.0761421319795996E-3</c:v>
                </c:pt>
                <c:pt idx="118">
                  <c:v>5.050505050504972E-3</c:v>
                </c:pt>
                <c:pt idx="119">
                  <c:v>5.0251256281406143E-3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0A-47F9-829E-EFE6F50E9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抗穿</a:t>
                </a:r>
                <a:r>
                  <a:rPr lang="en-US" altLang="zh-CN"/>
                  <a:t>/</a:t>
                </a:r>
                <a:r>
                  <a:rPr lang="zh-CN" altLang="en-US"/>
                  <a:t>减抗</a:t>
                </a:r>
                <a:r>
                  <a:rPr lang="en-US" altLang="zh-CN"/>
                  <a:t>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乘区系数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每</a:t>
                </a:r>
                <a:r>
                  <a:rPr lang="en-US" altLang="zh-CN"/>
                  <a:t>+1%</a:t>
                </a:r>
                <a:r>
                  <a:rPr lang="zh-CN" altLang="en-US"/>
                  <a:t>边际收益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减伤乘区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减伤乘区!$B$1</c:f>
              <c:strCache>
                <c:ptCount val="1"/>
                <c:pt idx="0">
                  <c:v>乘区系数</c:v>
                </c:pt>
              </c:strCache>
            </c:strRef>
          </c:tx>
          <c:spPr>
            <a:ln w="24000">
              <a:solidFill>
                <a:srgbClr val="E76F51"/>
              </a:solidFill>
              <a:prstDash val="solid"/>
            </a:ln>
          </c:spPr>
          <c:marker>
            <c:symbol val="none"/>
          </c:marker>
          <c:cat>
            <c:numRef>
              <c:f>减伤乘区!$A$2:$A$92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减伤乘区!$B$2:$B$92</c:f>
              <c:numCache>
                <c:formatCode>0.0000</c:formatCode>
                <c:ptCount val="91"/>
                <c:pt idx="0">
                  <c:v>0.9</c:v>
                </c:pt>
                <c:pt idx="1">
                  <c:v>0.89100000000000001</c:v>
                </c:pt>
                <c:pt idx="2">
                  <c:v>0.88200000000000001</c:v>
                </c:pt>
                <c:pt idx="3">
                  <c:v>0.873</c:v>
                </c:pt>
                <c:pt idx="4">
                  <c:v>0.86399999999999999</c:v>
                </c:pt>
                <c:pt idx="5">
                  <c:v>0.85499999999999998</c:v>
                </c:pt>
                <c:pt idx="6">
                  <c:v>0.84599999999999997</c:v>
                </c:pt>
                <c:pt idx="7">
                  <c:v>0.83699999999999997</c:v>
                </c:pt>
                <c:pt idx="8">
                  <c:v>0.82800000000000007</c:v>
                </c:pt>
                <c:pt idx="9">
                  <c:v>0.81900000000000006</c:v>
                </c:pt>
                <c:pt idx="10">
                  <c:v>0.81</c:v>
                </c:pt>
                <c:pt idx="11">
                  <c:v>0.80100000000000005</c:v>
                </c:pt>
                <c:pt idx="12">
                  <c:v>0.79200000000000004</c:v>
                </c:pt>
                <c:pt idx="13">
                  <c:v>0.78300000000000003</c:v>
                </c:pt>
                <c:pt idx="14">
                  <c:v>0.77400000000000002</c:v>
                </c:pt>
                <c:pt idx="15">
                  <c:v>0.76500000000000001</c:v>
                </c:pt>
                <c:pt idx="16">
                  <c:v>0.75600000000000001</c:v>
                </c:pt>
                <c:pt idx="17">
                  <c:v>0.747</c:v>
                </c:pt>
                <c:pt idx="18">
                  <c:v>0.7380000000000001</c:v>
                </c:pt>
                <c:pt idx="19">
                  <c:v>0.72900000000000009</c:v>
                </c:pt>
                <c:pt idx="20">
                  <c:v>0.72000000000000008</c:v>
                </c:pt>
                <c:pt idx="21">
                  <c:v>0.71100000000000008</c:v>
                </c:pt>
                <c:pt idx="22">
                  <c:v>0.70200000000000007</c:v>
                </c:pt>
                <c:pt idx="23">
                  <c:v>0.69300000000000006</c:v>
                </c:pt>
                <c:pt idx="24">
                  <c:v>0.68400000000000005</c:v>
                </c:pt>
                <c:pt idx="25">
                  <c:v>0.67500000000000004</c:v>
                </c:pt>
                <c:pt idx="26">
                  <c:v>0.66600000000000004</c:v>
                </c:pt>
                <c:pt idx="27">
                  <c:v>0.65700000000000003</c:v>
                </c:pt>
                <c:pt idx="28">
                  <c:v>0.64800000000000002</c:v>
                </c:pt>
                <c:pt idx="29">
                  <c:v>0.63900000000000001</c:v>
                </c:pt>
                <c:pt idx="30">
                  <c:v>0.63</c:v>
                </c:pt>
                <c:pt idx="31">
                  <c:v>0.621</c:v>
                </c:pt>
                <c:pt idx="32">
                  <c:v>0.61199999999999999</c:v>
                </c:pt>
                <c:pt idx="33">
                  <c:v>0.60299999999999998</c:v>
                </c:pt>
                <c:pt idx="34">
                  <c:v>0.59399999999999997</c:v>
                </c:pt>
                <c:pt idx="35">
                  <c:v>0.58500000000000008</c:v>
                </c:pt>
                <c:pt idx="36">
                  <c:v>0.57600000000000007</c:v>
                </c:pt>
                <c:pt idx="37">
                  <c:v>0.56700000000000006</c:v>
                </c:pt>
                <c:pt idx="38">
                  <c:v>0.55800000000000005</c:v>
                </c:pt>
                <c:pt idx="39">
                  <c:v>0.54900000000000004</c:v>
                </c:pt>
                <c:pt idx="40">
                  <c:v>0.54</c:v>
                </c:pt>
                <c:pt idx="41">
                  <c:v>0.53100000000000014</c:v>
                </c:pt>
                <c:pt idx="42">
                  <c:v>0.52200000000000013</c:v>
                </c:pt>
                <c:pt idx="43">
                  <c:v>0.51300000000000012</c:v>
                </c:pt>
                <c:pt idx="44">
                  <c:v>0.50400000000000011</c:v>
                </c:pt>
                <c:pt idx="45">
                  <c:v>0.49500000000000005</c:v>
                </c:pt>
                <c:pt idx="46">
                  <c:v>0.48600000000000004</c:v>
                </c:pt>
                <c:pt idx="47">
                  <c:v>0.47700000000000004</c:v>
                </c:pt>
                <c:pt idx="48">
                  <c:v>0.46800000000000003</c:v>
                </c:pt>
                <c:pt idx="49">
                  <c:v>0.45900000000000002</c:v>
                </c:pt>
                <c:pt idx="50">
                  <c:v>0.45</c:v>
                </c:pt>
                <c:pt idx="51">
                  <c:v>0.441</c:v>
                </c:pt>
                <c:pt idx="52">
                  <c:v>0.432</c:v>
                </c:pt>
                <c:pt idx="53">
                  <c:v>0.42299999999999999</c:v>
                </c:pt>
                <c:pt idx="54">
                  <c:v>0.41399999999999998</c:v>
                </c:pt>
                <c:pt idx="55">
                  <c:v>0.40499999999999997</c:v>
                </c:pt>
                <c:pt idx="56">
                  <c:v>0.39599999999999996</c:v>
                </c:pt>
                <c:pt idx="57">
                  <c:v>0.38700000000000007</c:v>
                </c:pt>
                <c:pt idx="58">
                  <c:v>0.37800000000000006</c:v>
                </c:pt>
                <c:pt idx="59">
                  <c:v>0.36900000000000005</c:v>
                </c:pt>
                <c:pt idx="60">
                  <c:v>0.36000000000000004</c:v>
                </c:pt>
                <c:pt idx="61">
                  <c:v>0.35100000000000003</c:v>
                </c:pt>
                <c:pt idx="62">
                  <c:v>0.34200000000000003</c:v>
                </c:pt>
                <c:pt idx="63">
                  <c:v>0.33300000000000002</c:v>
                </c:pt>
                <c:pt idx="64">
                  <c:v>0.32400000000000001</c:v>
                </c:pt>
                <c:pt idx="65">
                  <c:v>0.315</c:v>
                </c:pt>
                <c:pt idx="66">
                  <c:v>0.30599999999999999</c:v>
                </c:pt>
                <c:pt idx="67">
                  <c:v>0.29699999999999999</c:v>
                </c:pt>
                <c:pt idx="68">
                  <c:v>0.28799999999999998</c:v>
                </c:pt>
                <c:pt idx="69">
                  <c:v>0.27900000000000008</c:v>
                </c:pt>
                <c:pt idx="70">
                  <c:v>0.27000000000000007</c:v>
                </c:pt>
                <c:pt idx="71">
                  <c:v>0.26100000000000007</c:v>
                </c:pt>
                <c:pt idx="72">
                  <c:v>0.25200000000000006</c:v>
                </c:pt>
                <c:pt idx="73">
                  <c:v>0.24300000000000002</c:v>
                </c:pt>
                <c:pt idx="74">
                  <c:v>0.23400000000000001</c:v>
                </c:pt>
                <c:pt idx="75">
                  <c:v>0.22500000000000001</c:v>
                </c:pt>
                <c:pt idx="76">
                  <c:v>0.216</c:v>
                </c:pt>
                <c:pt idx="77">
                  <c:v>0.20699999999999999</c:v>
                </c:pt>
                <c:pt idx="78">
                  <c:v>0.19799999999999998</c:v>
                </c:pt>
                <c:pt idx="79">
                  <c:v>0.18899999999999997</c:v>
                </c:pt>
                <c:pt idx="80">
                  <c:v>0.17999999999999997</c:v>
                </c:pt>
                <c:pt idx="81">
                  <c:v>0.17099999999999996</c:v>
                </c:pt>
                <c:pt idx="82">
                  <c:v>0.16200000000000006</c:v>
                </c:pt>
                <c:pt idx="83">
                  <c:v>0.15300000000000005</c:v>
                </c:pt>
                <c:pt idx="84">
                  <c:v>0.14400000000000004</c:v>
                </c:pt>
                <c:pt idx="85">
                  <c:v>0.13500000000000004</c:v>
                </c:pt>
                <c:pt idx="86">
                  <c:v>0.12600000000000003</c:v>
                </c:pt>
                <c:pt idx="87">
                  <c:v>0.11700000000000001</c:v>
                </c:pt>
                <c:pt idx="88">
                  <c:v>0.108</c:v>
                </c:pt>
                <c:pt idx="89">
                  <c:v>9.8999999999999991E-2</c:v>
                </c:pt>
                <c:pt idx="90">
                  <c:v>8.9999999999999983E-2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F8-4B37-B0A4-E3CACA154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lineChart>
        <c:grouping val="standard"/>
        <c:varyColors val="1"/>
        <c:ser>
          <c:idx val="1"/>
          <c:order val="1"/>
          <c:tx>
            <c:strRef>
              <c:f>减伤乘区!$C$1</c:f>
              <c:strCache>
                <c:ptCount val="1"/>
                <c:pt idx="0">
                  <c:v>每+1%边际收益</c:v>
                </c:pt>
              </c:strCache>
            </c:strRef>
          </c:tx>
          <c:spPr>
            <a:ln w="22000">
              <a:solidFill>
                <a:srgbClr val="2A9D8F"/>
              </a:solidFill>
              <a:prstDash val="solid"/>
            </a:ln>
          </c:spPr>
          <c:marker>
            <c:symbol val="none"/>
          </c:marker>
          <c:cat>
            <c:numRef>
              <c:f>减伤乘区!$A$2:$A$92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减伤乘区!$C$2:$C$92</c:f>
              <c:numCache>
                <c:formatCode>0.00%</c:formatCode>
                <c:ptCount val="91"/>
                <c:pt idx="0">
                  <c:v>-1.0000000000000009E-2</c:v>
                </c:pt>
                <c:pt idx="1">
                  <c:v>-1.0101010101010055E-2</c:v>
                </c:pt>
                <c:pt idx="2">
                  <c:v>-1.0204081632653073E-2</c:v>
                </c:pt>
                <c:pt idx="3">
                  <c:v>-1.0309278350515427E-2</c:v>
                </c:pt>
                <c:pt idx="4">
                  <c:v>-1.041666666666663E-2</c:v>
                </c:pt>
                <c:pt idx="5">
                  <c:v>-1.0526315789473717E-2</c:v>
                </c:pt>
                <c:pt idx="6">
                  <c:v>-1.0638297872340385E-2</c:v>
                </c:pt>
                <c:pt idx="7">
                  <c:v>-1.075268817204289E-2</c:v>
                </c:pt>
                <c:pt idx="8">
                  <c:v>-1.0869565217391353E-2</c:v>
                </c:pt>
                <c:pt idx="9">
                  <c:v>-1.098901098901095E-2</c:v>
                </c:pt>
                <c:pt idx="10">
                  <c:v>-1.1111111111111072E-2</c:v>
                </c:pt>
                <c:pt idx="11">
                  <c:v>-1.1235955056179803E-2</c:v>
                </c:pt>
                <c:pt idx="12">
                  <c:v>-1.1363636363636354E-2</c:v>
                </c:pt>
                <c:pt idx="13">
                  <c:v>-1.1494252873563204E-2</c:v>
                </c:pt>
                <c:pt idx="14">
                  <c:v>-1.1627906976744207E-2</c:v>
                </c:pt>
                <c:pt idx="15">
                  <c:v>-1.1764705882352899E-2</c:v>
                </c:pt>
                <c:pt idx="16">
                  <c:v>-1.1904761904761862E-2</c:v>
                </c:pt>
                <c:pt idx="17">
                  <c:v>-1.2048192771084154E-2</c:v>
                </c:pt>
                <c:pt idx="18">
                  <c:v>-1.2195121951219523E-2</c:v>
                </c:pt>
                <c:pt idx="19">
                  <c:v>-1.2345679012345734E-2</c:v>
                </c:pt>
                <c:pt idx="20">
                  <c:v>-1.2499999999999956E-2</c:v>
                </c:pt>
                <c:pt idx="21">
                  <c:v>-1.2658227848101222E-2</c:v>
                </c:pt>
                <c:pt idx="22">
                  <c:v>-1.2820512820512886E-2</c:v>
                </c:pt>
                <c:pt idx="23">
                  <c:v>-1.2987012987012991E-2</c:v>
                </c:pt>
                <c:pt idx="24">
                  <c:v>-1.3157894736842146E-2</c:v>
                </c:pt>
                <c:pt idx="25">
                  <c:v>-1.3333333333333308E-2</c:v>
                </c:pt>
                <c:pt idx="26">
                  <c:v>-1.3513513513513487E-2</c:v>
                </c:pt>
                <c:pt idx="27">
                  <c:v>-1.3698630136986356E-2</c:v>
                </c:pt>
                <c:pt idx="28">
                  <c:v>-1.3888888888888951E-2</c:v>
                </c:pt>
                <c:pt idx="29">
                  <c:v>-1.4084507042253502E-2</c:v>
                </c:pt>
                <c:pt idx="30">
                  <c:v>-1.4285714285714346E-2</c:v>
                </c:pt>
                <c:pt idx="31">
                  <c:v>-1.449275362318847E-2</c:v>
                </c:pt>
                <c:pt idx="32">
                  <c:v>-1.4705882352941235E-2</c:v>
                </c:pt>
                <c:pt idx="33">
                  <c:v>-1.4925373134328401E-2</c:v>
                </c:pt>
                <c:pt idx="34">
                  <c:v>-1.5151515151515027E-2</c:v>
                </c:pt>
                <c:pt idx="35">
                  <c:v>-1.5384615384615441E-2</c:v>
                </c:pt>
                <c:pt idx="36">
                  <c:v>-1.5625E-2</c:v>
                </c:pt>
                <c:pt idx="37">
                  <c:v>-1.5873015873015928E-2</c:v>
                </c:pt>
                <c:pt idx="38">
                  <c:v>-1.6129032258064502E-2</c:v>
                </c:pt>
                <c:pt idx="39">
                  <c:v>-1.6393442622950838E-2</c:v>
                </c:pt>
                <c:pt idx="40">
                  <c:v>-1.6666666666666496E-2</c:v>
                </c:pt>
                <c:pt idx="41">
                  <c:v>-1.6949152542372947E-2</c:v>
                </c:pt>
                <c:pt idx="42">
                  <c:v>-1.7241379310344862E-2</c:v>
                </c:pt>
                <c:pt idx="43">
                  <c:v>-1.7543859649122862E-2</c:v>
                </c:pt>
                <c:pt idx="44">
                  <c:v>-1.7857142857143016E-2</c:v>
                </c:pt>
                <c:pt idx="45">
                  <c:v>-1.8181818181818188E-2</c:v>
                </c:pt>
                <c:pt idx="46">
                  <c:v>-1.851851851851849E-2</c:v>
                </c:pt>
                <c:pt idx="47">
                  <c:v>-1.8867924528301883E-2</c:v>
                </c:pt>
                <c:pt idx="48">
                  <c:v>-1.9230769230769273E-2</c:v>
                </c:pt>
                <c:pt idx="49">
                  <c:v>-1.9607843137254943E-2</c:v>
                </c:pt>
                <c:pt idx="50">
                  <c:v>-2.0000000000000018E-2</c:v>
                </c:pt>
                <c:pt idx="51">
                  <c:v>-2.0408163265306145E-2</c:v>
                </c:pt>
                <c:pt idx="52">
                  <c:v>-2.083333333333337E-2</c:v>
                </c:pt>
                <c:pt idx="53">
                  <c:v>-2.1276595744680882E-2</c:v>
                </c:pt>
                <c:pt idx="54">
                  <c:v>-2.1739130434782594E-2</c:v>
                </c:pt>
                <c:pt idx="55">
                  <c:v>-2.2222222222222254E-2</c:v>
                </c:pt>
                <c:pt idx="56">
                  <c:v>-2.2727272727272485E-2</c:v>
                </c:pt>
                <c:pt idx="57">
                  <c:v>-2.3255813953488413E-2</c:v>
                </c:pt>
                <c:pt idx="58">
                  <c:v>-2.3809523809523836E-2</c:v>
                </c:pt>
                <c:pt idx="59">
                  <c:v>-2.4390243902439046E-2</c:v>
                </c:pt>
                <c:pt idx="60">
                  <c:v>-2.5000000000000022E-2</c:v>
                </c:pt>
                <c:pt idx="61">
                  <c:v>-2.5641025641025661E-2</c:v>
                </c:pt>
                <c:pt idx="62">
                  <c:v>-2.6315789473684181E-2</c:v>
                </c:pt>
                <c:pt idx="63">
                  <c:v>-2.7027027027027084E-2</c:v>
                </c:pt>
                <c:pt idx="64">
                  <c:v>-2.777777777777779E-2</c:v>
                </c:pt>
                <c:pt idx="65">
                  <c:v>-2.8571428571428581E-2</c:v>
                </c:pt>
                <c:pt idx="66">
                  <c:v>-2.9411764705882359E-2</c:v>
                </c:pt>
                <c:pt idx="67">
                  <c:v>-3.0303030303030276E-2</c:v>
                </c:pt>
                <c:pt idx="68">
                  <c:v>-3.1249999999999667E-2</c:v>
                </c:pt>
                <c:pt idx="69">
                  <c:v>-3.2258064516129004E-2</c:v>
                </c:pt>
                <c:pt idx="70">
                  <c:v>-3.3333333333333326E-2</c:v>
                </c:pt>
                <c:pt idx="71">
                  <c:v>-3.4482758620689724E-2</c:v>
                </c:pt>
                <c:pt idx="72">
                  <c:v>-3.5714285714285809E-2</c:v>
                </c:pt>
                <c:pt idx="73">
                  <c:v>-3.703703703703709E-2</c:v>
                </c:pt>
                <c:pt idx="74">
                  <c:v>-3.8461538461538547E-2</c:v>
                </c:pt>
                <c:pt idx="75">
                  <c:v>-4.0000000000000036E-2</c:v>
                </c:pt>
                <c:pt idx="76">
                  <c:v>-4.1666666666666741E-2</c:v>
                </c:pt>
                <c:pt idx="77">
                  <c:v>-4.3478260869565299E-2</c:v>
                </c:pt>
                <c:pt idx="78">
                  <c:v>-4.5454545454545525E-2</c:v>
                </c:pt>
                <c:pt idx="79">
                  <c:v>-4.7619047619047672E-2</c:v>
                </c:pt>
                <c:pt idx="80">
                  <c:v>-5.0000000000000044E-2</c:v>
                </c:pt>
                <c:pt idx="81">
                  <c:v>-5.2631578947367808E-2</c:v>
                </c:pt>
                <c:pt idx="82">
                  <c:v>-5.555555555555558E-2</c:v>
                </c:pt>
                <c:pt idx="83">
                  <c:v>-5.8823529411764719E-2</c:v>
                </c:pt>
                <c:pt idx="84">
                  <c:v>-6.25E-2</c:v>
                </c:pt>
                <c:pt idx="85">
                  <c:v>-6.6666666666666763E-2</c:v>
                </c:pt>
                <c:pt idx="86">
                  <c:v>-7.1428571428571619E-2</c:v>
                </c:pt>
                <c:pt idx="87">
                  <c:v>-7.6923076923076983E-2</c:v>
                </c:pt>
                <c:pt idx="88">
                  <c:v>-8.333333333333337E-2</c:v>
                </c:pt>
                <c:pt idx="89">
                  <c:v>-9.090909090909105E-2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DF8-4B37-B0A4-E3CACA154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敌方减伤</a:t>
                </a:r>
                <a:r>
                  <a:rPr lang="en-US" altLang="zh-CN"/>
                  <a:t>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乘区系数</a:t>
                </a:r>
              </a:p>
            </c:rich>
          </c:tx>
          <c:overlay val="1"/>
        </c:title>
        <c:numFmt formatCode="0.0000" sourceLinked="1"/>
        <c:majorTickMark val="none"/>
        <c:minorTickMark val="none"/>
        <c:tickLblPos val="nextTo"/>
        <c:crossAx val="10"/>
        <c:crosses val="autoZero"/>
        <c:crossBetween val="between"/>
      </c:valAx>
      <c:valAx>
        <c:axId val="200"/>
        <c:scaling>
          <c:orientation val="minMax"/>
        </c:scaling>
        <c:delete val="1"/>
        <c:axPos val="r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每</a:t>
                </a:r>
                <a:r>
                  <a:rPr lang="en-US" altLang="zh-CN"/>
                  <a:t>+1%</a:t>
                </a:r>
                <a:r>
                  <a:rPr lang="zh-CN" altLang="en-US"/>
                  <a:t>边际收益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max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6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zoomScale="90" workbookViewId="0">
      <pane ySplit="1" topLeftCell="A2" activePane="bottomLeft" state="frozen"/>
      <selection pane="bottomLeft"/>
    </sheetView>
  </sheetViews>
  <sheetFormatPr defaultRowHeight="14" x14ac:dyDescent="0.25"/>
  <cols>
    <col min="1" max="1" width="16" customWidth="1"/>
    <col min="2" max="2" width="48" customWidth="1"/>
    <col min="3" max="3" width="44" customWidth="1"/>
  </cols>
  <sheetData>
    <row r="1" spans="1:3" ht="28" customHeight="1" x14ac:dyDescent="0.25">
      <c r="A1" s="1" t="s">
        <v>0</v>
      </c>
      <c r="B1" s="1" t="s">
        <v>1</v>
      </c>
      <c r="C1" s="1" t="s">
        <v>2</v>
      </c>
    </row>
    <row r="2" spans="1:3" ht="28" x14ac:dyDescent="0.25">
      <c r="A2" s="2" t="s">
        <v>3</v>
      </c>
      <c r="B2" s="2" t="s">
        <v>4</v>
      </c>
      <c r="C2" s="2" t="s">
        <v>5</v>
      </c>
    </row>
    <row r="3" spans="1:3" ht="28" x14ac:dyDescent="0.25">
      <c r="A3" s="2" t="s">
        <v>6</v>
      </c>
      <c r="B3" s="2" t="s">
        <v>7</v>
      </c>
      <c r="C3" s="2" t="s">
        <v>8</v>
      </c>
    </row>
    <row r="4" spans="1:3" x14ac:dyDescent="0.25">
      <c r="A4" s="2" t="s">
        <v>9</v>
      </c>
      <c r="B4" s="2" t="s">
        <v>10</v>
      </c>
      <c r="C4" s="2" t="s">
        <v>11</v>
      </c>
    </row>
    <row r="5" spans="1:3" x14ac:dyDescent="0.25">
      <c r="A5" s="2" t="s">
        <v>12</v>
      </c>
      <c r="B5" s="2" t="s">
        <v>13</v>
      </c>
      <c r="C5" s="2" t="s">
        <v>14</v>
      </c>
    </row>
    <row r="6" spans="1:3" x14ac:dyDescent="0.25">
      <c r="A6" s="2" t="s">
        <v>15</v>
      </c>
      <c r="B6" s="2" t="s">
        <v>16</v>
      </c>
      <c r="C6" s="2" t="s">
        <v>17</v>
      </c>
    </row>
    <row r="7" spans="1:3" x14ac:dyDescent="0.25">
      <c r="A7" s="2" t="s">
        <v>18</v>
      </c>
      <c r="B7" s="2" t="s">
        <v>19</v>
      </c>
      <c r="C7" s="2" t="s">
        <v>20</v>
      </c>
    </row>
    <row r="8" spans="1:3" x14ac:dyDescent="0.25">
      <c r="A8" s="2" t="s">
        <v>21</v>
      </c>
      <c r="B8" s="2" t="s">
        <v>22</v>
      </c>
      <c r="C8" s="2" t="s">
        <v>23</v>
      </c>
    </row>
    <row r="9" spans="1:3" x14ac:dyDescent="0.25">
      <c r="A9" s="2" t="s">
        <v>24</v>
      </c>
      <c r="B9" s="2" t="s">
        <v>25</v>
      </c>
      <c r="C9" s="2" t="s">
        <v>26</v>
      </c>
    </row>
    <row r="10" spans="1:3" x14ac:dyDescent="0.25">
      <c r="A10" s="2" t="s">
        <v>27</v>
      </c>
      <c r="B10" s="2" t="s">
        <v>28</v>
      </c>
      <c r="C10" s="2" t="s">
        <v>29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zoomScale="95" workbookViewId="0">
      <pane ySplit="1" topLeftCell="A2" activePane="bottomLeft" state="frozen"/>
      <selection pane="bottomLeft" activeCell="C51" sqref="C51"/>
    </sheetView>
  </sheetViews>
  <sheetFormatPr defaultRowHeight="14" x14ac:dyDescent="0.25"/>
  <cols>
    <col min="1" max="1" width="28" customWidth="1"/>
    <col min="2" max="2" width="16" customWidth="1"/>
    <col min="3" max="3" width="52" customWidth="1"/>
  </cols>
  <sheetData>
    <row r="1" spans="1:3" ht="28" customHeight="1" x14ac:dyDescent="0.25">
      <c r="A1" s="1" t="s">
        <v>3</v>
      </c>
      <c r="B1" s="1" t="s">
        <v>30</v>
      </c>
      <c r="C1" s="1" t="s">
        <v>31</v>
      </c>
    </row>
    <row r="2" spans="1:3" x14ac:dyDescent="0.25">
      <c r="A2" s="2" t="s">
        <v>32</v>
      </c>
      <c r="B2" s="3">
        <v>80</v>
      </c>
      <c r="C2" s="2" t="s">
        <v>33</v>
      </c>
    </row>
    <row r="3" spans="1:3" x14ac:dyDescent="0.25">
      <c r="A3" s="2" t="s">
        <v>34</v>
      </c>
      <c r="B3" s="3">
        <v>80</v>
      </c>
      <c r="C3" s="2" t="s">
        <v>35</v>
      </c>
    </row>
    <row r="4" spans="1:3" x14ac:dyDescent="0.25">
      <c r="A4" s="2" t="s">
        <v>36</v>
      </c>
      <c r="B4" s="3">
        <v>20</v>
      </c>
      <c r="C4" s="2" t="s">
        <v>37</v>
      </c>
    </row>
    <row r="5" spans="1:3" x14ac:dyDescent="0.25">
      <c r="A5" s="2" t="s">
        <v>38</v>
      </c>
      <c r="B5" s="3">
        <v>0</v>
      </c>
      <c r="C5" s="2" t="s">
        <v>39</v>
      </c>
    </row>
    <row r="6" spans="1:3" x14ac:dyDescent="0.25">
      <c r="A6" s="2" t="s">
        <v>40</v>
      </c>
      <c r="B6" s="3" t="s">
        <v>41</v>
      </c>
      <c r="C6" s="2" t="s">
        <v>42</v>
      </c>
    </row>
    <row r="7" spans="1:3" ht="28" x14ac:dyDescent="0.25">
      <c r="A7" s="2" t="s">
        <v>43</v>
      </c>
      <c r="B7" s="3">
        <v>100</v>
      </c>
      <c r="C7" s="2" t="s">
        <v>67</v>
      </c>
    </row>
    <row r="8" spans="1:3" ht="28" x14ac:dyDescent="0.25">
      <c r="A8" s="2" t="s">
        <v>44</v>
      </c>
      <c r="B8" s="3">
        <v>70</v>
      </c>
      <c r="C8" s="2" t="s">
        <v>45</v>
      </c>
    </row>
    <row r="9" spans="1:3" x14ac:dyDescent="0.25">
      <c r="A9" s="2" t="s">
        <v>46</v>
      </c>
      <c r="B9" s="3" t="s">
        <v>47</v>
      </c>
      <c r="C9" s="2" t="s">
        <v>48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2"/>
  <sheetViews>
    <sheetView zoomScale="90" workbookViewId="0">
      <pane ySplit="1" topLeftCell="A2" activePane="bottomLeft" state="frozen"/>
      <selection pane="bottomLeft"/>
    </sheetView>
  </sheetViews>
  <sheetFormatPr defaultRowHeight="14" x14ac:dyDescent="0.25"/>
  <cols>
    <col min="1" max="2" width="14" customWidth="1"/>
    <col min="3" max="3" width="16" customWidth="1"/>
    <col min="5" max="8" width="18" customWidth="1"/>
  </cols>
  <sheetData>
    <row r="1" spans="1:8" ht="28" customHeight="1" x14ac:dyDescent="0.25">
      <c r="A1" s="1" t="s">
        <v>49</v>
      </c>
      <c r="B1" s="1" t="s">
        <v>50</v>
      </c>
      <c r="C1" s="1" t="s">
        <v>51</v>
      </c>
      <c r="E1" s="4" t="s">
        <v>31</v>
      </c>
    </row>
    <row r="2" spans="1:8" x14ac:dyDescent="0.25">
      <c r="A2" s="3">
        <v>0</v>
      </c>
      <c r="B2" s="5">
        <f t="shared" ref="B2:B65" si="0">1+A2/100</f>
        <v>1</v>
      </c>
      <c r="C2" s="6">
        <f t="shared" ref="C2:C65" si="1">B3/B2-1</f>
        <v>1.0000000000000009E-2</v>
      </c>
      <c r="E2" s="7" t="s">
        <v>52</v>
      </c>
      <c r="F2" s="8"/>
      <c r="G2" s="8"/>
      <c r="H2" s="8"/>
    </row>
    <row r="3" spans="1:8" x14ac:dyDescent="0.25">
      <c r="A3" s="3">
        <v>1</v>
      </c>
      <c r="B3" s="5">
        <f t="shared" si="0"/>
        <v>1.01</v>
      </c>
      <c r="C3" s="6">
        <f t="shared" si="1"/>
        <v>9.9009900990099098E-3</v>
      </c>
      <c r="E3" s="8"/>
      <c r="F3" s="8"/>
      <c r="G3" s="8"/>
      <c r="H3" s="8"/>
    </row>
    <row r="4" spans="1:8" x14ac:dyDescent="0.25">
      <c r="A4" s="3">
        <v>2</v>
      </c>
      <c r="B4" s="5">
        <f t="shared" si="0"/>
        <v>1.02</v>
      </c>
      <c r="C4" s="6">
        <f t="shared" si="1"/>
        <v>9.8039215686274161E-3</v>
      </c>
      <c r="E4" s="8"/>
      <c r="F4" s="8"/>
      <c r="G4" s="8"/>
      <c r="H4" s="8"/>
    </row>
    <row r="5" spans="1:8" x14ac:dyDescent="0.25">
      <c r="A5" s="3">
        <v>3</v>
      </c>
      <c r="B5" s="5">
        <f t="shared" si="0"/>
        <v>1.03</v>
      </c>
      <c r="C5" s="6">
        <f t="shared" si="1"/>
        <v>9.7087378640776656E-3</v>
      </c>
      <c r="E5" s="8"/>
      <c r="F5" s="8"/>
      <c r="G5" s="8"/>
      <c r="H5" s="8"/>
    </row>
    <row r="6" spans="1:8" x14ac:dyDescent="0.25">
      <c r="A6" s="3">
        <v>4</v>
      </c>
      <c r="B6" s="5">
        <f t="shared" si="0"/>
        <v>1.04</v>
      </c>
      <c r="C6" s="6">
        <f t="shared" si="1"/>
        <v>9.6153846153845812E-3</v>
      </c>
    </row>
    <row r="7" spans="1:8" x14ac:dyDescent="0.25">
      <c r="A7" s="3">
        <v>5</v>
      </c>
      <c r="B7" s="5">
        <f t="shared" si="0"/>
        <v>1.05</v>
      </c>
      <c r="C7" s="6">
        <f t="shared" si="1"/>
        <v>9.52380952380949E-3</v>
      </c>
    </row>
    <row r="8" spans="1:8" x14ac:dyDescent="0.25">
      <c r="A8" s="3">
        <v>6</v>
      </c>
      <c r="B8" s="5">
        <f t="shared" si="0"/>
        <v>1.06</v>
      </c>
      <c r="C8" s="6">
        <f t="shared" si="1"/>
        <v>9.4339622641510523E-3</v>
      </c>
    </row>
    <row r="9" spans="1:8" x14ac:dyDescent="0.25">
      <c r="A9" s="3">
        <v>7</v>
      </c>
      <c r="B9" s="5">
        <f t="shared" si="0"/>
        <v>1.07</v>
      </c>
      <c r="C9" s="6">
        <f t="shared" si="1"/>
        <v>9.3457943925234765E-3</v>
      </c>
    </row>
    <row r="10" spans="1:8" x14ac:dyDescent="0.25">
      <c r="A10" s="3">
        <v>8</v>
      </c>
      <c r="B10" s="5">
        <f t="shared" si="0"/>
        <v>1.08</v>
      </c>
      <c r="C10" s="6">
        <f t="shared" si="1"/>
        <v>9.2592592592593004E-3</v>
      </c>
    </row>
    <row r="11" spans="1:8" x14ac:dyDescent="0.25">
      <c r="A11" s="3">
        <v>9</v>
      </c>
      <c r="B11" s="5">
        <f t="shared" si="0"/>
        <v>1.0900000000000001</v>
      </c>
      <c r="C11" s="6">
        <f t="shared" si="1"/>
        <v>9.1743119266054496E-3</v>
      </c>
    </row>
    <row r="12" spans="1:8" x14ac:dyDescent="0.25">
      <c r="A12" s="3">
        <v>10</v>
      </c>
      <c r="B12" s="5">
        <f t="shared" si="0"/>
        <v>1.1000000000000001</v>
      </c>
      <c r="C12" s="6">
        <f t="shared" si="1"/>
        <v>9.0909090909090384E-3</v>
      </c>
    </row>
    <row r="13" spans="1:8" x14ac:dyDescent="0.25">
      <c r="A13" s="3">
        <v>11</v>
      </c>
      <c r="B13" s="5">
        <f t="shared" si="0"/>
        <v>1.1100000000000001</v>
      </c>
      <c r="C13" s="6">
        <f t="shared" si="1"/>
        <v>9.009009009008917E-3</v>
      </c>
    </row>
    <row r="14" spans="1:8" x14ac:dyDescent="0.25">
      <c r="A14" s="3">
        <v>12</v>
      </c>
      <c r="B14" s="5">
        <f t="shared" si="0"/>
        <v>1.1200000000000001</v>
      </c>
      <c r="C14" s="6">
        <f t="shared" si="1"/>
        <v>8.9285714285711748E-3</v>
      </c>
    </row>
    <row r="15" spans="1:8" x14ac:dyDescent="0.25">
      <c r="A15" s="3">
        <v>13</v>
      </c>
      <c r="B15" s="5">
        <f t="shared" si="0"/>
        <v>1.1299999999999999</v>
      </c>
      <c r="C15" s="6">
        <f t="shared" si="1"/>
        <v>8.8495575221241296E-3</v>
      </c>
    </row>
    <row r="16" spans="1:8" x14ac:dyDescent="0.25">
      <c r="A16" s="3">
        <v>14</v>
      </c>
      <c r="B16" s="5">
        <f t="shared" si="0"/>
        <v>1.1400000000000001</v>
      </c>
      <c r="C16" s="6">
        <f t="shared" si="1"/>
        <v>8.7719298245612087E-3</v>
      </c>
    </row>
    <row r="17" spans="1:3" x14ac:dyDescent="0.25">
      <c r="A17" s="3">
        <v>15</v>
      </c>
      <c r="B17" s="5">
        <f t="shared" si="0"/>
        <v>1.1499999999999999</v>
      </c>
      <c r="C17" s="6">
        <f t="shared" si="1"/>
        <v>8.6956521739129933E-3</v>
      </c>
    </row>
    <row r="18" spans="1:3" x14ac:dyDescent="0.25">
      <c r="A18" s="3">
        <v>16</v>
      </c>
      <c r="B18" s="5">
        <f t="shared" si="0"/>
        <v>1.1599999999999999</v>
      </c>
      <c r="C18" s="6">
        <f t="shared" si="1"/>
        <v>8.6206896551723755E-3</v>
      </c>
    </row>
    <row r="19" spans="1:3" x14ac:dyDescent="0.25">
      <c r="A19" s="3">
        <v>17</v>
      </c>
      <c r="B19" s="5">
        <f t="shared" si="0"/>
        <v>1.17</v>
      </c>
      <c r="C19" s="6">
        <f t="shared" si="1"/>
        <v>8.5470085470085166E-3</v>
      </c>
    </row>
    <row r="20" spans="1:3" x14ac:dyDescent="0.25">
      <c r="A20" s="3">
        <v>18</v>
      </c>
      <c r="B20" s="5">
        <f t="shared" si="0"/>
        <v>1.18</v>
      </c>
      <c r="C20" s="6">
        <f t="shared" si="1"/>
        <v>8.4745762711864181E-3</v>
      </c>
    </row>
    <row r="21" spans="1:3" x14ac:dyDescent="0.25">
      <c r="A21" s="3">
        <v>19</v>
      </c>
      <c r="B21" s="5">
        <f t="shared" si="0"/>
        <v>1.19</v>
      </c>
      <c r="C21" s="6">
        <f t="shared" si="1"/>
        <v>8.4033613445377853E-3</v>
      </c>
    </row>
    <row r="22" spans="1:3" x14ac:dyDescent="0.25">
      <c r="A22" s="3">
        <v>20</v>
      </c>
      <c r="B22" s="5">
        <f t="shared" si="0"/>
        <v>1.2</v>
      </c>
      <c r="C22" s="6">
        <f t="shared" si="1"/>
        <v>8.3333333333333037E-3</v>
      </c>
    </row>
    <row r="23" spans="1:3" x14ac:dyDescent="0.25">
      <c r="A23" s="3">
        <v>21</v>
      </c>
      <c r="B23" s="5">
        <f t="shared" si="0"/>
        <v>1.21</v>
      </c>
      <c r="C23" s="6">
        <f t="shared" si="1"/>
        <v>8.2644628099173278E-3</v>
      </c>
    </row>
    <row r="24" spans="1:3" x14ac:dyDescent="0.25">
      <c r="A24" s="3">
        <v>22</v>
      </c>
      <c r="B24" s="5">
        <f t="shared" si="0"/>
        <v>1.22</v>
      </c>
      <c r="C24" s="6">
        <f t="shared" si="1"/>
        <v>8.1967213114753079E-3</v>
      </c>
    </row>
    <row r="25" spans="1:3" x14ac:dyDescent="0.25">
      <c r="A25" s="3">
        <v>23</v>
      </c>
      <c r="B25" s="5">
        <f t="shared" si="0"/>
        <v>1.23</v>
      </c>
      <c r="C25" s="6">
        <f t="shared" si="1"/>
        <v>8.1300813008129413E-3</v>
      </c>
    </row>
    <row r="26" spans="1:3" x14ac:dyDescent="0.25">
      <c r="A26" s="3">
        <v>24</v>
      </c>
      <c r="B26" s="5">
        <f t="shared" si="0"/>
        <v>1.24</v>
      </c>
      <c r="C26" s="6">
        <f t="shared" si="1"/>
        <v>8.0645161290322509E-3</v>
      </c>
    </row>
    <row r="27" spans="1:3" x14ac:dyDescent="0.25">
      <c r="A27" s="3">
        <v>25</v>
      </c>
      <c r="B27" s="5">
        <f t="shared" si="0"/>
        <v>1.25</v>
      </c>
      <c r="C27" s="6">
        <f t="shared" si="1"/>
        <v>8.0000000000000071E-3</v>
      </c>
    </row>
    <row r="28" spans="1:3" x14ac:dyDescent="0.25">
      <c r="A28" s="3">
        <v>26</v>
      </c>
      <c r="B28" s="5">
        <f t="shared" si="0"/>
        <v>1.26</v>
      </c>
      <c r="C28" s="6">
        <f t="shared" si="1"/>
        <v>7.9365079365079083E-3</v>
      </c>
    </row>
    <row r="29" spans="1:3" x14ac:dyDescent="0.25">
      <c r="A29" s="3">
        <v>27</v>
      </c>
      <c r="B29" s="5">
        <f t="shared" si="0"/>
        <v>1.27</v>
      </c>
      <c r="C29" s="6">
        <f t="shared" si="1"/>
        <v>7.8740157480314821E-3</v>
      </c>
    </row>
    <row r="30" spans="1:3" x14ac:dyDescent="0.25">
      <c r="A30" s="3">
        <v>28</v>
      </c>
      <c r="B30" s="5">
        <f t="shared" si="0"/>
        <v>1.28</v>
      </c>
      <c r="C30" s="6">
        <f t="shared" si="1"/>
        <v>7.8125E-3</v>
      </c>
    </row>
    <row r="31" spans="1:3" x14ac:dyDescent="0.25">
      <c r="A31" s="3">
        <v>29</v>
      </c>
      <c r="B31" s="5">
        <f t="shared" si="0"/>
        <v>1.29</v>
      </c>
      <c r="C31" s="6">
        <f t="shared" si="1"/>
        <v>7.7519379844961378E-3</v>
      </c>
    </row>
    <row r="32" spans="1:3" x14ac:dyDescent="0.25">
      <c r="A32" s="3">
        <v>30</v>
      </c>
      <c r="B32" s="5">
        <f t="shared" si="0"/>
        <v>1.3</v>
      </c>
      <c r="C32" s="6">
        <f t="shared" si="1"/>
        <v>7.692307692307665E-3</v>
      </c>
    </row>
    <row r="33" spans="1:3" x14ac:dyDescent="0.25">
      <c r="A33" s="3">
        <v>31</v>
      </c>
      <c r="B33" s="5">
        <f t="shared" si="0"/>
        <v>1.31</v>
      </c>
      <c r="C33" s="6">
        <f t="shared" si="1"/>
        <v>7.6335877862594437E-3</v>
      </c>
    </row>
    <row r="34" spans="1:3" x14ac:dyDescent="0.25">
      <c r="A34" s="3">
        <v>32</v>
      </c>
      <c r="B34" s="5">
        <f t="shared" si="0"/>
        <v>1.32</v>
      </c>
      <c r="C34" s="6">
        <f t="shared" si="1"/>
        <v>7.575757575757569E-3</v>
      </c>
    </row>
    <row r="35" spans="1:3" x14ac:dyDescent="0.25">
      <c r="A35" s="3">
        <v>33</v>
      </c>
      <c r="B35" s="5">
        <f t="shared" si="0"/>
        <v>1.33</v>
      </c>
      <c r="C35" s="6">
        <f t="shared" si="1"/>
        <v>7.5187969924812581E-3</v>
      </c>
    </row>
    <row r="36" spans="1:3" x14ac:dyDescent="0.25">
      <c r="A36" s="3">
        <v>34</v>
      </c>
      <c r="B36" s="5">
        <f t="shared" si="0"/>
        <v>1.34</v>
      </c>
      <c r="C36" s="6">
        <f t="shared" si="1"/>
        <v>7.4626865671640896E-3</v>
      </c>
    </row>
    <row r="37" spans="1:3" x14ac:dyDescent="0.25">
      <c r="A37" s="3">
        <v>35</v>
      </c>
      <c r="B37" s="5">
        <f t="shared" si="0"/>
        <v>1.35</v>
      </c>
      <c r="C37" s="6">
        <f t="shared" si="1"/>
        <v>7.4074074074073071E-3</v>
      </c>
    </row>
    <row r="38" spans="1:3" x14ac:dyDescent="0.25">
      <c r="A38" s="3">
        <v>36</v>
      </c>
      <c r="B38" s="5">
        <f t="shared" si="0"/>
        <v>1.3599999999999999</v>
      </c>
      <c r="C38" s="6">
        <f t="shared" si="1"/>
        <v>7.3529411764707842E-3</v>
      </c>
    </row>
    <row r="39" spans="1:3" x14ac:dyDescent="0.25">
      <c r="A39" s="3">
        <v>37</v>
      </c>
      <c r="B39" s="5">
        <f t="shared" si="0"/>
        <v>1.37</v>
      </c>
      <c r="C39" s="6">
        <f t="shared" si="1"/>
        <v>7.2992700729925808E-3</v>
      </c>
    </row>
    <row r="40" spans="1:3" x14ac:dyDescent="0.25">
      <c r="A40" s="3">
        <v>38</v>
      </c>
      <c r="B40" s="5">
        <f t="shared" si="0"/>
        <v>1.38</v>
      </c>
      <c r="C40" s="6">
        <f t="shared" si="1"/>
        <v>7.2463768115944571E-3</v>
      </c>
    </row>
    <row r="41" spans="1:3" x14ac:dyDescent="0.25">
      <c r="A41" s="3">
        <v>39</v>
      </c>
      <c r="B41" s="5">
        <f t="shared" si="0"/>
        <v>1.3900000000000001</v>
      </c>
      <c r="C41" s="6">
        <f t="shared" si="1"/>
        <v>7.194244604316502E-3</v>
      </c>
    </row>
    <row r="42" spans="1:3" x14ac:dyDescent="0.25">
      <c r="A42" s="3">
        <v>40</v>
      </c>
      <c r="B42" s="5">
        <f t="shared" si="0"/>
        <v>1.4</v>
      </c>
      <c r="C42" s="6">
        <f t="shared" si="1"/>
        <v>7.1428571428571175E-3</v>
      </c>
    </row>
    <row r="43" spans="1:3" x14ac:dyDescent="0.25">
      <c r="A43" s="3">
        <v>41</v>
      </c>
      <c r="B43" s="5">
        <f t="shared" si="0"/>
        <v>1.41</v>
      </c>
      <c r="C43" s="6">
        <f t="shared" si="1"/>
        <v>7.0921985815601829E-3</v>
      </c>
    </row>
    <row r="44" spans="1:3" x14ac:dyDescent="0.25">
      <c r="A44" s="3">
        <v>42</v>
      </c>
      <c r="B44" s="5">
        <f t="shared" si="0"/>
        <v>1.42</v>
      </c>
      <c r="C44" s="6">
        <f t="shared" si="1"/>
        <v>7.0422535211267512E-3</v>
      </c>
    </row>
    <row r="45" spans="1:3" x14ac:dyDescent="0.25">
      <c r="A45" s="3">
        <v>43</v>
      </c>
      <c r="B45" s="5">
        <f t="shared" si="0"/>
        <v>1.43</v>
      </c>
      <c r="C45" s="6">
        <f t="shared" si="1"/>
        <v>6.9930069930070893E-3</v>
      </c>
    </row>
    <row r="46" spans="1:3" x14ac:dyDescent="0.25">
      <c r="A46" s="3">
        <v>44</v>
      </c>
      <c r="B46" s="5">
        <f t="shared" si="0"/>
        <v>1.44</v>
      </c>
      <c r="C46" s="6">
        <f t="shared" si="1"/>
        <v>6.9444444444444198E-3</v>
      </c>
    </row>
    <row r="47" spans="1:3" x14ac:dyDescent="0.25">
      <c r="A47" s="3">
        <v>45</v>
      </c>
      <c r="B47" s="5">
        <f t="shared" si="0"/>
        <v>1.45</v>
      </c>
      <c r="C47" s="6">
        <f t="shared" si="1"/>
        <v>6.8965517241379448E-3</v>
      </c>
    </row>
    <row r="48" spans="1:3" x14ac:dyDescent="0.25">
      <c r="A48" s="3">
        <v>46</v>
      </c>
      <c r="B48" s="5">
        <f t="shared" si="0"/>
        <v>1.46</v>
      </c>
      <c r="C48" s="6">
        <f t="shared" si="1"/>
        <v>6.8493150684931781E-3</v>
      </c>
    </row>
    <row r="49" spans="1:3" x14ac:dyDescent="0.25">
      <c r="A49" s="3">
        <v>47</v>
      </c>
      <c r="B49" s="5">
        <f t="shared" si="0"/>
        <v>1.47</v>
      </c>
      <c r="C49" s="6">
        <f t="shared" si="1"/>
        <v>6.8027210884353817E-3</v>
      </c>
    </row>
    <row r="50" spans="1:3" x14ac:dyDescent="0.25">
      <c r="A50" s="3">
        <v>48</v>
      </c>
      <c r="B50" s="5">
        <f t="shared" si="0"/>
        <v>1.48</v>
      </c>
      <c r="C50" s="6">
        <f t="shared" si="1"/>
        <v>6.7567567567567988E-3</v>
      </c>
    </row>
    <row r="51" spans="1:3" x14ac:dyDescent="0.25">
      <c r="A51" s="3">
        <v>49</v>
      </c>
      <c r="B51" s="5">
        <f t="shared" si="0"/>
        <v>1.49</v>
      </c>
      <c r="C51" s="6">
        <f t="shared" si="1"/>
        <v>6.7114093959732557E-3</v>
      </c>
    </row>
    <row r="52" spans="1:3" x14ac:dyDescent="0.25">
      <c r="A52" s="3">
        <v>50</v>
      </c>
      <c r="B52" s="5">
        <f t="shared" si="0"/>
        <v>1.5</v>
      </c>
      <c r="C52" s="6">
        <f t="shared" si="1"/>
        <v>6.6666666666665986E-3</v>
      </c>
    </row>
    <row r="53" spans="1:3" x14ac:dyDescent="0.25">
      <c r="A53" s="3">
        <v>51</v>
      </c>
      <c r="B53" s="5">
        <f t="shared" si="0"/>
        <v>1.51</v>
      </c>
      <c r="C53" s="6">
        <f t="shared" si="1"/>
        <v>6.6225165562914245E-3</v>
      </c>
    </row>
    <row r="54" spans="1:3" x14ac:dyDescent="0.25">
      <c r="A54" s="3">
        <v>52</v>
      </c>
      <c r="B54" s="5">
        <f t="shared" si="0"/>
        <v>1.52</v>
      </c>
      <c r="C54" s="6">
        <f t="shared" si="1"/>
        <v>6.5789473684210176E-3</v>
      </c>
    </row>
    <row r="55" spans="1:3" x14ac:dyDescent="0.25">
      <c r="A55" s="3">
        <v>53</v>
      </c>
      <c r="B55" s="5">
        <f t="shared" si="0"/>
        <v>1.53</v>
      </c>
      <c r="C55" s="6">
        <f t="shared" si="1"/>
        <v>6.5359477124182774E-3</v>
      </c>
    </row>
    <row r="56" spans="1:3" x14ac:dyDescent="0.25">
      <c r="A56" s="3">
        <v>54</v>
      </c>
      <c r="B56" s="5">
        <f t="shared" si="0"/>
        <v>1.54</v>
      </c>
      <c r="C56" s="6">
        <f t="shared" si="1"/>
        <v>6.4935064935065512E-3</v>
      </c>
    </row>
    <row r="57" spans="1:3" x14ac:dyDescent="0.25">
      <c r="A57" s="3">
        <v>55</v>
      </c>
      <c r="B57" s="5">
        <f t="shared" si="0"/>
        <v>1.55</v>
      </c>
      <c r="C57" s="6">
        <f t="shared" si="1"/>
        <v>6.4516129032257119E-3</v>
      </c>
    </row>
    <row r="58" spans="1:3" x14ac:dyDescent="0.25">
      <c r="A58" s="3">
        <v>56</v>
      </c>
      <c r="B58" s="5">
        <f t="shared" si="0"/>
        <v>1.56</v>
      </c>
      <c r="C58" s="6">
        <f t="shared" si="1"/>
        <v>6.4102564102561654E-3</v>
      </c>
    </row>
    <row r="59" spans="1:3" x14ac:dyDescent="0.25">
      <c r="A59" s="3">
        <v>57</v>
      </c>
      <c r="B59" s="5">
        <f t="shared" si="0"/>
        <v>1.5699999999999998</v>
      </c>
      <c r="C59" s="6">
        <f t="shared" si="1"/>
        <v>6.3694267515925773E-3</v>
      </c>
    </row>
    <row r="60" spans="1:3" x14ac:dyDescent="0.25">
      <c r="A60" s="3">
        <v>58</v>
      </c>
      <c r="B60" s="5">
        <f t="shared" si="0"/>
        <v>1.58</v>
      </c>
      <c r="C60" s="6">
        <f t="shared" si="1"/>
        <v>6.3291139240504446E-3</v>
      </c>
    </row>
    <row r="61" spans="1:3" x14ac:dyDescent="0.25">
      <c r="A61" s="3">
        <v>59</v>
      </c>
      <c r="B61" s="5">
        <f t="shared" si="0"/>
        <v>1.5899999999999999</v>
      </c>
      <c r="C61" s="6">
        <f t="shared" si="1"/>
        <v>6.2893081761008496E-3</v>
      </c>
    </row>
    <row r="62" spans="1:3" x14ac:dyDescent="0.25">
      <c r="A62" s="3">
        <v>60</v>
      </c>
      <c r="B62" s="5">
        <f t="shared" si="0"/>
        <v>1.6</v>
      </c>
      <c r="C62" s="6">
        <f t="shared" si="1"/>
        <v>6.2499999999998668E-3</v>
      </c>
    </row>
    <row r="63" spans="1:3" x14ac:dyDescent="0.25">
      <c r="A63" s="3">
        <v>61</v>
      </c>
      <c r="B63" s="5">
        <f t="shared" si="0"/>
        <v>1.6099999999999999</v>
      </c>
      <c r="C63" s="6">
        <f t="shared" si="1"/>
        <v>6.2111801242237252E-3</v>
      </c>
    </row>
    <row r="64" spans="1:3" x14ac:dyDescent="0.25">
      <c r="A64" s="3">
        <v>62</v>
      </c>
      <c r="B64" s="5">
        <f t="shared" si="0"/>
        <v>1.62</v>
      </c>
      <c r="C64" s="6">
        <f t="shared" si="1"/>
        <v>6.1728395061726449E-3</v>
      </c>
    </row>
    <row r="65" spans="1:3" x14ac:dyDescent="0.25">
      <c r="A65" s="3">
        <v>63</v>
      </c>
      <c r="B65" s="5">
        <f t="shared" si="0"/>
        <v>1.63</v>
      </c>
      <c r="C65" s="6">
        <f t="shared" si="1"/>
        <v>6.1349693251535609E-3</v>
      </c>
    </row>
    <row r="66" spans="1:3" x14ac:dyDescent="0.25">
      <c r="A66" s="3">
        <v>64</v>
      </c>
      <c r="B66" s="5">
        <f t="shared" ref="B66:B129" si="2">1+A66/100</f>
        <v>1.6400000000000001</v>
      </c>
      <c r="C66" s="6">
        <f t="shared" ref="C66:C129" si="3">B67/B66-1</f>
        <v>6.0975609756095395E-3</v>
      </c>
    </row>
    <row r="67" spans="1:3" x14ac:dyDescent="0.25">
      <c r="A67" s="3">
        <v>65</v>
      </c>
      <c r="B67" s="5">
        <f t="shared" si="2"/>
        <v>1.65</v>
      </c>
      <c r="C67" s="6">
        <f t="shared" si="3"/>
        <v>6.0606060606060996E-3</v>
      </c>
    </row>
    <row r="68" spans="1:3" x14ac:dyDescent="0.25">
      <c r="A68" s="3">
        <v>66</v>
      </c>
      <c r="B68" s="5">
        <f t="shared" si="2"/>
        <v>1.6600000000000001</v>
      </c>
      <c r="C68" s="6">
        <f t="shared" si="3"/>
        <v>6.0240963855420215E-3</v>
      </c>
    </row>
    <row r="69" spans="1:3" x14ac:dyDescent="0.25">
      <c r="A69" s="3">
        <v>67</v>
      </c>
      <c r="B69" s="5">
        <f t="shared" si="2"/>
        <v>1.67</v>
      </c>
      <c r="C69" s="6">
        <f t="shared" si="3"/>
        <v>5.9880239520959666E-3</v>
      </c>
    </row>
    <row r="70" spans="1:3" x14ac:dyDescent="0.25">
      <c r="A70" s="3">
        <v>68</v>
      </c>
      <c r="B70" s="5">
        <f t="shared" si="2"/>
        <v>1.6800000000000002</v>
      </c>
      <c r="C70" s="6">
        <f t="shared" si="3"/>
        <v>5.9523809523809312E-3</v>
      </c>
    </row>
    <row r="71" spans="1:3" x14ac:dyDescent="0.25">
      <c r="A71" s="3">
        <v>69</v>
      </c>
      <c r="B71" s="5">
        <f t="shared" si="2"/>
        <v>1.69</v>
      </c>
      <c r="C71" s="6">
        <f t="shared" si="3"/>
        <v>5.9171597633136397E-3</v>
      </c>
    </row>
    <row r="72" spans="1:3" x14ac:dyDescent="0.25">
      <c r="A72" s="3">
        <v>70</v>
      </c>
      <c r="B72" s="5">
        <f t="shared" si="2"/>
        <v>1.7</v>
      </c>
      <c r="C72" s="6">
        <f t="shared" si="3"/>
        <v>5.8823529411764497E-3</v>
      </c>
    </row>
    <row r="73" spans="1:3" x14ac:dyDescent="0.25">
      <c r="A73" s="3">
        <v>71</v>
      </c>
      <c r="B73" s="5">
        <f t="shared" si="2"/>
        <v>1.71</v>
      </c>
      <c r="C73" s="6">
        <f t="shared" si="3"/>
        <v>5.8479532163742132E-3</v>
      </c>
    </row>
    <row r="74" spans="1:3" x14ac:dyDescent="0.25">
      <c r="A74" s="3">
        <v>72</v>
      </c>
      <c r="B74" s="5">
        <f t="shared" si="2"/>
        <v>1.72</v>
      </c>
      <c r="C74" s="6">
        <f t="shared" si="3"/>
        <v>5.8139534883721034E-3</v>
      </c>
    </row>
    <row r="75" spans="1:3" x14ac:dyDescent="0.25">
      <c r="A75" s="3">
        <v>73</v>
      </c>
      <c r="B75" s="5">
        <f t="shared" si="2"/>
        <v>1.73</v>
      </c>
      <c r="C75" s="6">
        <f t="shared" si="3"/>
        <v>5.7803468208093012E-3</v>
      </c>
    </row>
    <row r="76" spans="1:3" x14ac:dyDescent="0.25">
      <c r="A76" s="3">
        <v>74</v>
      </c>
      <c r="B76" s="5">
        <f t="shared" si="2"/>
        <v>1.74</v>
      </c>
      <c r="C76" s="6">
        <f t="shared" si="3"/>
        <v>5.7471264367816577E-3</v>
      </c>
    </row>
    <row r="77" spans="1:3" x14ac:dyDescent="0.25">
      <c r="A77" s="3">
        <v>75</v>
      </c>
      <c r="B77" s="5">
        <f t="shared" si="2"/>
        <v>1.75</v>
      </c>
      <c r="C77" s="6">
        <f t="shared" si="3"/>
        <v>5.7142857142857828E-3</v>
      </c>
    </row>
    <row r="78" spans="1:3" x14ac:dyDescent="0.25">
      <c r="A78" s="3">
        <v>76</v>
      </c>
      <c r="B78" s="5">
        <f t="shared" si="2"/>
        <v>1.76</v>
      </c>
      <c r="C78" s="6">
        <f t="shared" si="3"/>
        <v>5.6818181818181213E-3</v>
      </c>
    </row>
    <row r="79" spans="1:3" x14ac:dyDescent="0.25">
      <c r="A79" s="3">
        <v>77</v>
      </c>
      <c r="B79" s="5">
        <f t="shared" si="2"/>
        <v>1.77</v>
      </c>
      <c r="C79" s="6">
        <f t="shared" si="3"/>
        <v>5.6497175141243527E-3</v>
      </c>
    </row>
    <row r="80" spans="1:3" x14ac:dyDescent="0.25">
      <c r="A80" s="3">
        <v>78</v>
      </c>
      <c r="B80" s="5">
        <f t="shared" si="2"/>
        <v>1.78</v>
      </c>
      <c r="C80" s="6">
        <f t="shared" si="3"/>
        <v>5.6179775280897903E-3</v>
      </c>
    </row>
    <row r="81" spans="1:3" x14ac:dyDescent="0.25">
      <c r="A81" s="3">
        <v>79</v>
      </c>
      <c r="B81" s="5">
        <f t="shared" si="2"/>
        <v>1.79</v>
      </c>
      <c r="C81" s="6">
        <f t="shared" si="3"/>
        <v>5.5865921787709993E-3</v>
      </c>
    </row>
    <row r="82" spans="1:3" x14ac:dyDescent="0.25">
      <c r="A82" s="3">
        <v>80</v>
      </c>
      <c r="B82" s="5">
        <f t="shared" si="2"/>
        <v>1.8</v>
      </c>
      <c r="C82" s="6">
        <f t="shared" si="3"/>
        <v>5.5555555555555358E-3</v>
      </c>
    </row>
    <row r="83" spans="1:3" x14ac:dyDescent="0.25">
      <c r="A83" s="3">
        <v>81</v>
      </c>
      <c r="B83" s="5">
        <f t="shared" si="2"/>
        <v>1.81</v>
      </c>
      <c r="C83" s="6">
        <f t="shared" si="3"/>
        <v>5.5248618784529135E-3</v>
      </c>
    </row>
    <row r="84" spans="1:3" x14ac:dyDescent="0.25">
      <c r="A84" s="3">
        <v>82</v>
      </c>
      <c r="B84" s="5">
        <f t="shared" si="2"/>
        <v>1.8199999999999998</v>
      </c>
      <c r="C84" s="6">
        <f t="shared" si="3"/>
        <v>5.494505494505697E-3</v>
      </c>
    </row>
    <row r="85" spans="1:3" x14ac:dyDescent="0.25">
      <c r="A85" s="3">
        <v>83</v>
      </c>
      <c r="B85" s="5">
        <f t="shared" si="2"/>
        <v>1.83</v>
      </c>
      <c r="C85" s="6">
        <f t="shared" si="3"/>
        <v>5.4644808743167239E-3</v>
      </c>
    </row>
    <row r="86" spans="1:3" x14ac:dyDescent="0.25">
      <c r="A86" s="3">
        <v>84</v>
      </c>
      <c r="B86" s="5">
        <f t="shared" si="2"/>
        <v>1.8399999999999999</v>
      </c>
      <c r="C86" s="6">
        <f t="shared" si="3"/>
        <v>5.4347826086957873E-3</v>
      </c>
    </row>
    <row r="87" spans="1:3" x14ac:dyDescent="0.25">
      <c r="A87" s="3">
        <v>85</v>
      </c>
      <c r="B87" s="5">
        <f t="shared" si="2"/>
        <v>1.85</v>
      </c>
      <c r="C87" s="6">
        <f t="shared" si="3"/>
        <v>5.4054054054053502E-3</v>
      </c>
    </row>
    <row r="88" spans="1:3" x14ac:dyDescent="0.25">
      <c r="A88" s="3">
        <v>86</v>
      </c>
      <c r="B88" s="5">
        <f t="shared" si="2"/>
        <v>1.8599999999999999</v>
      </c>
      <c r="C88" s="6">
        <f t="shared" si="3"/>
        <v>5.3763440860217226E-3</v>
      </c>
    </row>
    <row r="89" spans="1:3" x14ac:dyDescent="0.25">
      <c r="A89" s="3">
        <v>87</v>
      </c>
      <c r="B89" s="5">
        <f t="shared" si="2"/>
        <v>1.87</v>
      </c>
      <c r="C89" s="6">
        <f t="shared" si="3"/>
        <v>5.3475935828874999E-3</v>
      </c>
    </row>
    <row r="90" spans="1:3" x14ac:dyDescent="0.25">
      <c r="A90" s="3">
        <v>88</v>
      </c>
      <c r="B90" s="5">
        <f t="shared" si="2"/>
        <v>1.88</v>
      </c>
      <c r="C90" s="6">
        <f t="shared" si="3"/>
        <v>5.3191489361703592E-3</v>
      </c>
    </row>
    <row r="91" spans="1:3" x14ac:dyDescent="0.25">
      <c r="A91" s="3">
        <v>89</v>
      </c>
      <c r="B91" s="5">
        <f t="shared" si="2"/>
        <v>1.8900000000000001</v>
      </c>
      <c r="C91" s="6">
        <f t="shared" si="3"/>
        <v>5.2910052910051242E-3</v>
      </c>
    </row>
    <row r="92" spans="1:3" x14ac:dyDescent="0.25">
      <c r="A92" s="3">
        <v>90</v>
      </c>
      <c r="B92" s="5">
        <f t="shared" si="2"/>
        <v>1.9</v>
      </c>
      <c r="C92" s="6">
        <f t="shared" si="3"/>
        <v>5.2631578947368585E-3</v>
      </c>
    </row>
    <row r="93" spans="1:3" x14ac:dyDescent="0.25">
      <c r="A93" s="3">
        <v>91</v>
      </c>
      <c r="B93" s="5">
        <f t="shared" si="2"/>
        <v>1.9100000000000001</v>
      </c>
      <c r="C93" s="6">
        <f t="shared" si="3"/>
        <v>5.2356020942407877E-3</v>
      </c>
    </row>
    <row r="94" spans="1:3" x14ac:dyDescent="0.25">
      <c r="A94" s="3">
        <v>92</v>
      </c>
      <c r="B94" s="5">
        <f t="shared" si="2"/>
        <v>1.92</v>
      </c>
      <c r="C94" s="6">
        <f t="shared" si="3"/>
        <v>5.2083333333334814E-3</v>
      </c>
    </row>
    <row r="95" spans="1:3" x14ac:dyDescent="0.25">
      <c r="A95" s="3">
        <v>93</v>
      </c>
      <c r="B95" s="5">
        <f t="shared" si="2"/>
        <v>1.9300000000000002</v>
      </c>
      <c r="C95" s="6">
        <f t="shared" si="3"/>
        <v>5.1813471502588637E-3</v>
      </c>
    </row>
    <row r="96" spans="1:3" x14ac:dyDescent="0.25">
      <c r="A96" s="3">
        <v>94</v>
      </c>
      <c r="B96" s="5">
        <f t="shared" si="2"/>
        <v>1.94</v>
      </c>
      <c r="C96" s="6">
        <f t="shared" si="3"/>
        <v>5.1546391752577136E-3</v>
      </c>
    </row>
    <row r="97" spans="1:3" x14ac:dyDescent="0.25">
      <c r="A97" s="3">
        <v>95</v>
      </c>
      <c r="B97" s="5">
        <f t="shared" si="2"/>
        <v>1.95</v>
      </c>
      <c r="C97" s="6">
        <f t="shared" si="3"/>
        <v>5.12820512820511E-3</v>
      </c>
    </row>
    <row r="98" spans="1:3" x14ac:dyDescent="0.25">
      <c r="A98" s="3">
        <v>96</v>
      </c>
      <c r="B98" s="5">
        <f t="shared" si="2"/>
        <v>1.96</v>
      </c>
      <c r="C98" s="6">
        <f t="shared" si="3"/>
        <v>5.1020408163264808E-3</v>
      </c>
    </row>
    <row r="99" spans="1:3" x14ac:dyDescent="0.25">
      <c r="A99" s="3">
        <v>97</v>
      </c>
      <c r="B99" s="5">
        <f t="shared" si="2"/>
        <v>1.97</v>
      </c>
      <c r="C99" s="6">
        <f t="shared" si="3"/>
        <v>5.0761421319795996E-3</v>
      </c>
    </row>
    <row r="100" spans="1:3" x14ac:dyDescent="0.25">
      <c r="A100" s="3">
        <v>98</v>
      </c>
      <c r="B100" s="5">
        <f t="shared" si="2"/>
        <v>1.98</v>
      </c>
      <c r="C100" s="6">
        <f t="shared" si="3"/>
        <v>5.050505050504972E-3</v>
      </c>
    </row>
    <row r="101" spans="1:3" x14ac:dyDescent="0.25">
      <c r="A101" s="3">
        <v>99</v>
      </c>
      <c r="B101" s="5">
        <f t="shared" si="2"/>
        <v>1.99</v>
      </c>
      <c r="C101" s="6">
        <f t="shared" si="3"/>
        <v>5.0251256281406143E-3</v>
      </c>
    </row>
    <row r="102" spans="1:3" x14ac:dyDescent="0.25">
      <c r="A102" s="3">
        <v>100</v>
      </c>
      <c r="B102" s="5">
        <f t="shared" si="2"/>
        <v>2</v>
      </c>
      <c r="C102" s="6">
        <f t="shared" si="3"/>
        <v>4.9999999999998934E-3</v>
      </c>
    </row>
    <row r="103" spans="1:3" x14ac:dyDescent="0.25">
      <c r="A103" s="3">
        <v>101</v>
      </c>
      <c r="B103" s="5">
        <f t="shared" si="2"/>
        <v>2.0099999999999998</v>
      </c>
      <c r="C103" s="6">
        <f t="shared" si="3"/>
        <v>4.9751243781095411E-3</v>
      </c>
    </row>
    <row r="104" spans="1:3" x14ac:dyDescent="0.25">
      <c r="A104" s="3">
        <v>102</v>
      </c>
      <c r="B104" s="5">
        <f t="shared" si="2"/>
        <v>2.02</v>
      </c>
      <c r="C104" s="6">
        <f t="shared" si="3"/>
        <v>4.9504950495049549E-3</v>
      </c>
    </row>
    <row r="105" spans="1:3" x14ac:dyDescent="0.25">
      <c r="A105" s="3">
        <v>103</v>
      </c>
      <c r="B105" s="5">
        <f t="shared" si="2"/>
        <v>2.0300000000000002</v>
      </c>
      <c r="C105" s="6">
        <f t="shared" si="3"/>
        <v>4.9261083743841194E-3</v>
      </c>
    </row>
    <row r="106" spans="1:3" x14ac:dyDescent="0.25">
      <c r="A106" s="3">
        <v>104</v>
      </c>
      <c r="B106" s="5">
        <f t="shared" si="2"/>
        <v>2.04</v>
      </c>
      <c r="C106" s="6">
        <f t="shared" si="3"/>
        <v>4.9019607843137081E-3</v>
      </c>
    </row>
    <row r="107" spans="1:3" x14ac:dyDescent="0.25">
      <c r="A107" s="3">
        <v>105</v>
      </c>
      <c r="B107" s="5">
        <f t="shared" si="2"/>
        <v>2.0499999999999998</v>
      </c>
      <c r="C107" s="6">
        <f t="shared" si="3"/>
        <v>4.8780487804878092E-3</v>
      </c>
    </row>
    <row r="108" spans="1:3" x14ac:dyDescent="0.25">
      <c r="A108" s="3">
        <v>106</v>
      </c>
      <c r="B108" s="5">
        <f t="shared" si="2"/>
        <v>2.06</v>
      </c>
      <c r="C108" s="6">
        <f t="shared" si="3"/>
        <v>4.8543689320390548E-3</v>
      </c>
    </row>
    <row r="109" spans="1:3" x14ac:dyDescent="0.25">
      <c r="A109" s="3">
        <v>107</v>
      </c>
      <c r="B109" s="5">
        <f t="shared" si="2"/>
        <v>2.0700000000000003</v>
      </c>
      <c r="C109" s="6">
        <f t="shared" si="3"/>
        <v>4.8309178743959347E-3</v>
      </c>
    </row>
    <row r="110" spans="1:3" x14ac:dyDescent="0.25">
      <c r="A110" s="3">
        <v>108</v>
      </c>
      <c r="B110" s="5">
        <f t="shared" si="2"/>
        <v>2.08</v>
      </c>
      <c r="C110" s="6">
        <f t="shared" si="3"/>
        <v>4.8076923076922906E-3</v>
      </c>
    </row>
    <row r="111" spans="1:3" x14ac:dyDescent="0.25">
      <c r="A111" s="3">
        <v>109</v>
      </c>
      <c r="B111" s="5">
        <f t="shared" si="2"/>
        <v>2.09</v>
      </c>
      <c r="C111" s="6">
        <f t="shared" si="3"/>
        <v>4.784688995215447E-3</v>
      </c>
    </row>
    <row r="112" spans="1:3" x14ac:dyDescent="0.25">
      <c r="A112" s="3">
        <v>110</v>
      </c>
      <c r="B112" s="5">
        <f t="shared" si="2"/>
        <v>2.1</v>
      </c>
      <c r="C112" s="6">
        <f t="shared" si="3"/>
        <v>4.761904761904967E-3</v>
      </c>
    </row>
    <row r="113" spans="1:3" x14ac:dyDescent="0.25">
      <c r="A113" s="3">
        <v>111</v>
      </c>
      <c r="B113" s="5">
        <f t="shared" si="2"/>
        <v>2.1100000000000003</v>
      </c>
      <c r="C113" s="6">
        <f t="shared" si="3"/>
        <v>4.7393364928909332E-3</v>
      </c>
    </row>
    <row r="114" spans="1:3" x14ac:dyDescent="0.25">
      <c r="A114" s="3">
        <v>112</v>
      </c>
      <c r="B114" s="5">
        <f t="shared" si="2"/>
        <v>2.12</v>
      </c>
      <c r="C114" s="6">
        <f t="shared" si="3"/>
        <v>4.7169811320753041E-3</v>
      </c>
    </row>
    <row r="115" spans="1:3" x14ac:dyDescent="0.25">
      <c r="A115" s="3">
        <v>113</v>
      </c>
      <c r="B115" s="5">
        <f t="shared" si="2"/>
        <v>2.13</v>
      </c>
      <c r="C115" s="6">
        <f t="shared" si="3"/>
        <v>4.6948356807510194E-3</v>
      </c>
    </row>
    <row r="116" spans="1:3" x14ac:dyDescent="0.25">
      <c r="A116" s="3">
        <v>114</v>
      </c>
      <c r="B116" s="5">
        <f t="shared" si="2"/>
        <v>2.1399999999999997</v>
      </c>
      <c r="C116" s="6">
        <f t="shared" si="3"/>
        <v>4.6728971962617383E-3</v>
      </c>
    </row>
    <row r="117" spans="1:3" x14ac:dyDescent="0.25">
      <c r="A117" s="3">
        <v>115</v>
      </c>
      <c r="B117" s="5">
        <f t="shared" si="2"/>
        <v>2.15</v>
      </c>
      <c r="C117" s="6">
        <f t="shared" si="3"/>
        <v>4.6511627906977715E-3</v>
      </c>
    </row>
    <row r="118" spans="1:3" x14ac:dyDescent="0.25">
      <c r="A118" s="3">
        <v>116</v>
      </c>
      <c r="B118" s="5">
        <f t="shared" si="2"/>
        <v>2.16</v>
      </c>
      <c r="C118" s="6">
        <f t="shared" si="3"/>
        <v>4.6296296296295392E-3</v>
      </c>
    </row>
    <row r="119" spans="1:3" x14ac:dyDescent="0.25">
      <c r="A119" s="3">
        <v>117</v>
      </c>
      <c r="B119" s="5">
        <f t="shared" si="2"/>
        <v>2.17</v>
      </c>
      <c r="C119" s="6">
        <f t="shared" si="3"/>
        <v>4.6082949308754451E-3</v>
      </c>
    </row>
    <row r="120" spans="1:3" x14ac:dyDescent="0.25">
      <c r="A120" s="3">
        <v>118</v>
      </c>
      <c r="B120" s="5">
        <f t="shared" si="2"/>
        <v>2.1799999999999997</v>
      </c>
      <c r="C120" s="6">
        <f t="shared" si="3"/>
        <v>4.5871559633028358E-3</v>
      </c>
    </row>
    <row r="121" spans="1:3" x14ac:dyDescent="0.25">
      <c r="A121" s="3">
        <v>119</v>
      </c>
      <c r="B121" s="5">
        <f t="shared" si="2"/>
        <v>2.19</v>
      </c>
      <c r="C121" s="6">
        <f t="shared" si="3"/>
        <v>4.5662100456622667E-3</v>
      </c>
    </row>
    <row r="122" spans="1:3" x14ac:dyDescent="0.25">
      <c r="A122" s="3">
        <v>120</v>
      </c>
      <c r="B122" s="5">
        <f t="shared" si="2"/>
        <v>2.2000000000000002</v>
      </c>
      <c r="C122" s="6">
        <f t="shared" si="3"/>
        <v>4.5454545454544082E-3</v>
      </c>
    </row>
    <row r="123" spans="1:3" x14ac:dyDescent="0.25">
      <c r="A123" s="3">
        <v>121</v>
      </c>
      <c r="B123" s="5">
        <f t="shared" si="2"/>
        <v>2.21</v>
      </c>
      <c r="C123" s="6">
        <f t="shared" si="3"/>
        <v>4.5248868778280382E-3</v>
      </c>
    </row>
    <row r="124" spans="1:3" x14ac:dyDescent="0.25">
      <c r="A124" s="3">
        <v>122</v>
      </c>
      <c r="B124" s="5">
        <f t="shared" si="2"/>
        <v>2.2199999999999998</v>
      </c>
      <c r="C124" s="6">
        <f t="shared" si="3"/>
        <v>4.5045045045046805E-3</v>
      </c>
    </row>
    <row r="125" spans="1:3" x14ac:dyDescent="0.25">
      <c r="A125" s="3">
        <v>123</v>
      </c>
      <c r="B125" s="5">
        <f t="shared" si="2"/>
        <v>2.23</v>
      </c>
      <c r="C125" s="6">
        <f t="shared" si="3"/>
        <v>4.484304932735439E-3</v>
      </c>
    </row>
    <row r="126" spans="1:3" x14ac:dyDescent="0.25">
      <c r="A126" s="3">
        <v>124</v>
      </c>
      <c r="B126" s="5">
        <f t="shared" si="2"/>
        <v>2.2400000000000002</v>
      </c>
      <c r="C126" s="6">
        <f t="shared" si="3"/>
        <v>4.4642857142855874E-3</v>
      </c>
    </row>
    <row r="127" spans="1:3" x14ac:dyDescent="0.25">
      <c r="A127" s="3">
        <v>125</v>
      </c>
      <c r="B127" s="5">
        <f t="shared" si="2"/>
        <v>2.25</v>
      </c>
      <c r="C127" s="6">
        <f t="shared" si="3"/>
        <v>4.444444444444251E-3</v>
      </c>
    </row>
    <row r="128" spans="1:3" x14ac:dyDescent="0.25">
      <c r="A128" s="3">
        <v>126</v>
      </c>
      <c r="B128" s="5">
        <f t="shared" si="2"/>
        <v>2.2599999999999998</v>
      </c>
      <c r="C128" s="6">
        <f t="shared" si="3"/>
        <v>4.4247787610620648E-3</v>
      </c>
    </row>
    <row r="129" spans="1:3" x14ac:dyDescent="0.25">
      <c r="A129" s="3">
        <v>127</v>
      </c>
      <c r="B129" s="5">
        <f t="shared" si="2"/>
        <v>2.27</v>
      </c>
      <c r="C129" s="6">
        <f t="shared" si="3"/>
        <v>4.405286343612369E-3</v>
      </c>
    </row>
    <row r="130" spans="1:3" x14ac:dyDescent="0.25">
      <c r="A130" s="3">
        <v>128</v>
      </c>
      <c r="B130" s="5">
        <f t="shared" ref="B130:B193" si="4">1+A130/100</f>
        <v>2.2800000000000002</v>
      </c>
      <c r="C130" s="6">
        <f t="shared" ref="C130:C193" si="5">B131/B130-1</f>
        <v>4.3859649122806044E-3</v>
      </c>
    </row>
    <row r="131" spans="1:3" x14ac:dyDescent="0.25">
      <c r="A131" s="3">
        <v>129</v>
      </c>
      <c r="B131" s="5">
        <f t="shared" si="4"/>
        <v>2.29</v>
      </c>
      <c r="C131" s="6">
        <f t="shared" si="5"/>
        <v>4.366812227074135E-3</v>
      </c>
    </row>
    <row r="132" spans="1:3" x14ac:dyDescent="0.25">
      <c r="A132" s="3">
        <v>130</v>
      </c>
      <c r="B132" s="5">
        <f t="shared" si="4"/>
        <v>2.2999999999999998</v>
      </c>
      <c r="C132" s="6">
        <f t="shared" si="5"/>
        <v>4.3478260869567187E-3</v>
      </c>
    </row>
    <row r="133" spans="1:3" x14ac:dyDescent="0.25">
      <c r="A133" s="3">
        <v>131</v>
      </c>
      <c r="B133" s="5">
        <f t="shared" si="4"/>
        <v>2.31</v>
      </c>
      <c r="C133" s="6">
        <f t="shared" si="5"/>
        <v>4.3290043290045155E-3</v>
      </c>
    </row>
    <row r="134" spans="1:3" x14ac:dyDescent="0.25">
      <c r="A134" s="3">
        <v>132</v>
      </c>
      <c r="B134" s="5">
        <f t="shared" si="4"/>
        <v>2.3200000000000003</v>
      </c>
      <c r="C134" s="6">
        <f t="shared" si="5"/>
        <v>4.3103448275860767E-3</v>
      </c>
    </row>
    <row r="135" spans="1:3" x14ac:dyDescent="0.25">
      <c r="A135" s="3">
        <v>133</v>
      </c>
      <c r="B135" s="5">
        <f t="shared" si="4"/>
        <v>2.33</v>
      </c>
      <c r="C135" s="6">
        <f t="shared" si="5"/>
        <v>4.2918454935620964E-3</v>
      </c>
    </row>
    <row r="136" spans="1:3" x14ac:dyDescent="0.25">
      <c r="A136" s="3">
        <v>134</v>
      </c>
      <c r="B136" s="5">
        <f t="shared" si="4"/>
        <v>2.34</v>
      </c>
      <c r="C136" s="6">
        <f t="shared" si="5"/>
        <v>4.2735042735044804E-3</v>
      </c>
    </row>
    <row r="137" spans="1:3" x14ac:dyDescent="0.25">
      <c r="A137" s="3">
        <v>135</v>
      </c>
      <c r="B137" s="5">
        <f t="shared" si="4"/>
        <v>2.35</v>
      </c>
      <c r="C137" s="6">
        <f t="shared" si="5"/>
        <v>4.2553191489362874E-3</v>
      </c>
    </row>
    <row r="138" spans="1:3" x14ac:dyDescent="0.25">
      <c r="A138" s="3">
        <v>136</v>
      </c>
      <c r="B138" s="5">
        <f t="shared" si="4"/>
        <v>2.3600000000000003</v>
      </c>
      <c r="C138" s="6">
        <f t="shared" si="5"/>
        <v>4.237288135593209E-3</v>
      </c>
    </row>
    <row r="139" spans="1:3" x14ac:dyDescent="0.25">
      <c r="A139" s="3">
        <v>137</v>
      </c>
      <c r="B139" s="5">
        <f t="shared" si="4"/>
        <v>2.37</v>
      </c>
      <c r="C139" s="6">
        <f t="shared" si="5"/>
        <v>4.2194092827003704E-3</v>
      </c>
    </row>
    <row r="140" spans="1:3" x14ac:dyDescent="0.25">
      <c r="A140" s="3">
        <v>138</v>
      </c>
      <c r="B140" s="5">
        <f t="shared" si="4"/>
        <v>2.38</v>
      </c>
      <c r="C140" s="6">
        <f t="shared" si="5"/>
        <v>4.2016806722688926E-3</v>
      </c>
    </row>
    <row r="141" spans="1:3" x14ac:dyDescent="0.25">
      <c r="A141" s="3">
        <v>139</v>
      </c>
      <c r="B141" s="5">
        <f t="shared" si="4"/>
        <v>2.3899999999999997</v>
      </c>
      <c r="C141" s="6">
        <f t="shared" si="5"/>
        <v>4.1841004184102193E-3</v>
      </c>
    </row>
    <row r="142" spans="1:3" x14ac:dyDescent="0.25">
      <c r="A142" s="3">
        <v>140</v>
      </c>
      <c r="B142" s="5">
        <f t="shared" si="4"/>
        <v>2.4</v>
      </c>
      <c r="C142" s="6">
        <f t="shared" si="5"/>
        <v>4.1666666666668739E-3</v>
      </c>
    </row>
    <row r="143" spans="1:3" x14ac:dyDescent="0.25">
      <c r="A143" s="3">
        <v>141</v>
      </c>
      <c r="B143" s="5">
        <f t="shared" si="4"/>
        <v>2.41</v>
      </c>
      <c r="C143" s="6">
        <f t="shared" si="5"/>
        <v>4.1493775933609811E-3</v>
      </c>
    </row>
    <row r="144" spans="1:3" x14ac:dyDescent="0.25">
      <c r="A144" s="3">
        <v>142</v>
      </c>
      <c r="B144" s="5">
        <f t="shared" si="4"/>
        <v>2.42</v>
      </c>
      <c r="C144" s="6">
        <f t="shared" si="5"/>
        <v>4.1322314049585529E-3</v>
      </c>
    </row>
    <row r="145" spans="1:3" x14ac:dyDescent="0.25">
      <c r="A145" s="3">
        <v>143</v>
      </c>
      <c r="B145" s="5">
        <f t="shared" si="4"/>
        <v>2.4299999999999997</v>
      </c>
      <c r="C145" s="6">
        <f t="shared" si="5"/>
        <v>4.115226337448652E-3</v>
      </c>
    </row>
    <row r="146" spans="1:3" x14ac:dyDescent="0.25">
      <c r="A146" s="3">
        <v>144</v>
      </c>
      <c r="B146" s="5">
        <f t="shared" si="4"/>
        <v>2.44</v>
      </c>
      <c r="C146" s="6">
        <f t="shared" si="5"/>
        <v>4.098360655737876E-3</v>
      </c>
    </row>
    <row r="147" spans="1:3" x14ac:dyDescent="0.25">
      <c r="A147" s="3">
        <v>145</v>
      </c>
      <c r="B147" s="5">
        <f t="shared" si="4"/>
        <v>2.4500000000000002</v>
      </c>
      <c r="C147" s="6">
        <f t="shared" si="5"/>
        <v>4.0816326530610514E-3</v>
      </c>
    </row>
    <row r="148" spans="1:3" x14ac:dyDescent="0.25">
      <c r="A148" s="3">
        <v>146</v>
      </c>
      <c r="B148" s="5">
        <f t="shared" si="4"/>
        <v>2.46</v>
      </c>
      <c r="C148" s="6">
        <f t="shared" si="5"/>
        <v>4.0650406504063596E-3</v>
      </c>
    </row>
    <row r="149" spans="1:3" x14ac:dyDescent="0.25">
      <c r="A149" s="3">
        <v>147</v>
      </c>
      <c r="B149" s="5">
        <f t="shared" si="4"/>
        <v>2.4699999999999998</v>
      </c>
      <c r="C149" s="6">
        <f t="shared" si="5"/>
        <v>4.0485829959515662E-3</v>
      </c>
    </row>
    <row r="150" spans="1:3" x14ac:dyDescent="0.25">
      <c r="A150" s="3">
        <v>148</v>
      </c>
      <c r="B150" s="5">
        <f t="shared" si="4"/>
        <v>2.48</v>
      </c>
      <c r="C150" s="6">
        <f t="shared" si="5"/>
        <v>4.0322580645162365E-3</v>
      </c>
    </row>
    <row r="151" spans="1:3" x14ac:dyDescent="0.25">
      <c r="A151" s="3">
        <v>149</v>
      </c>
      <c r="B151" s="5">
        <f t="shared" si="4"/>
        <v>2.4900000000000002</v>
      </c>
      <c r="C151" s="6">
        <f t="shared" si="5"/>
        <v>4.0160642570279403E-3</v>
      </c>
    </row>
    <row r="152" spans="1:3" x14ac:dyDescent="0.25">
      <c r="A152" s="3">
        <v>150</v>
      </c>
      <c r="B152" s="5">
        <f t="shared" si="4"/>
        <v>2.5</v>
      </c>
      <c r="C152" s="6">
        <f t="shared" si="5"/>
        <v>4.0000000000000036E-3</v>
      </c>
    </row>
    <row r="153" spans="1:3" x14ac:dyDescent="0.25">
      <c r="A153" s="3">
        <v>151</v>
      </c>
      <c r="B153" s="5">
        <f t="shared" si="4"/>
        <v>2.5099999999999998</v>
      </c>
      <c r="C153" s="6">
        <f t="shared" si="5"/>
        <v>3.9840637450199168E-3</v>
      </c>
    </row>
    <row r="154" spans="1:3" x14ac:dyDescent="0.25">
      <c r="A154" s="3">
        <v>152</v>
      </c>
      <c r="B154" s="5">
        <f t="shared" si="4"/>
        <v>2.52</v>
      </c>
      <c r="C154" s="6">
        <f t="shared" si="5"/>
        <v>3.9682539682539542E-3</v>
      </c>
    </row>
    <row r="155" spans="1:3" x14ac:dyDescent="0.25">
      <c r="A155" s="3">
        <v>153</v>
      </c>
      <c r="B155" s="5">
        <f t="shared" si="4"/>
        <v>2.5300000000000002</v>
      </c>
      <c r="C155" s="6">
        <f t="shared" si="5"/>
        <v>3.9525691699604515E-3</v>
      </c>
    </row>
    <row r="156" spans="1:3" x14ac:dyDescent="0.25">
      <c r="A156" s="3">
        <v>154</v>
      </c>
      <c r="B156" s="5">
        <f t="shared" si="4"/>
        <v>2.54</v>
      </c>
      <c r="C156" s="6">
        <f t="shared" si="5"/>
        <v>3.937007874015741E-3</v>
      </c>
    </row>
    <row r="157" spans="1:3" x14ac:dyDescent="0.25">
      <c r="A157" s="3">
        <v>155</v>
      </c>
      <c r="B157" s="5">
        <f t="shared" si="4"/>
        <v>2.5499999999999998</v>
      </c>
      <c r="C157" s="6">
        <f t="shared" si="5"/>
        <v>3.9215686274509665E-3</v>
      </c>
    </row>
    <row r="158" spans="1:3" x14ac:dyDescent="0.25">
      <c r="A158" s="3">
        <v>156</v>
      </c>
      <c r="B158" s="5">
        <f t="shared" si="4"/>
        <v>2.56</v>
      </c>
      <c r="C158" s="6">
        <f t="shared" si="5"/>
        <v>3.90625E-3</v>
      </c>
    </row>
    <row r="159" spans="1:3" x14ac:dyDescent="0.25">
      <c r="A159" s="3">
        <v>157</v>
      </c>
      <c r="B159" s="5">
        <f t="shared" si="4"/>
        <v>2.5700000000000003</v>
      </c>
      <c r="C159" s="6">
        <f t="shared" si="5"/>
        <v>3.8910505836575737E-3</v>
      </c>
    </row>
    <row r="160" spans="1:3" x14ac:dyDescent="0.25">
      <c r="A160" s="3">
        <v>158</v>
      </c>
      <c r="B160" s="5">
        <f t="shared" si="4"/>
        <v>2.58</v>
      </c>
      <c r="C160" s="6">
        <f t="shared" si="5"/>
        <v>3.8759689922480689E-3</v>
      </c>
    </row>
    <row r="161" spans="1:3" x14ac:dyDescent="0.25">
      <c r="A161" s="3">
        <v>159</v>
      </c>
      <c r="B161" s="5">
        <f t="shared" si="4"/>
        <v>2.59</v>
      </c>
      <c r="C161" s="6">
        <f t="shared" si="5"/>
        <v>3.8610038610038533E-3</v>
      </c>
    </row>
    <row r="162" spans="1:3" x14ac:dyDescent="0.25">
      <c r="A162" s="3">
        <v>160</v>
      </c>
      <c r="B162" s="5">
        <f t="shared" si="4"/>
        <v>2.6</v>
      </c>
      <c r="C162" s="6">
        <f t="shared" si="5"/>
        <v>3.8461538461538325E-3</v>
      </c>
    </row>
    <row r="163" spans="1:3" x14ac:dyDescent="0.25">
      <c r="A163" s="3">
        <v>161</v>
      </c>
      <c r="B163" s="5">
        <f t="shared" si="4"/>
        <v>2.6100000000000003</v>
      </c>
      <c r="C163" s="6">
        <f t="shared" si="5"/>
        <v>3.8314176245208831E-3</v>
      </c>
    </row>
    <row r="164" spans="1:3" x14ac:dyDescent="0.25">
      <c r="A164" s="3">
        <v>162</v>
      </c>
      <c r="B164" s="5">
        <f t="shared" si="4"/>
        <v>2.62</v>
      </c>
      <c r="C164" s="6">
        <f t="shared" si="5"/>
        <v>3.8167938931297218E-3</v>
      </c>
    </row>
    <row r="165" spans="1:3" x14ac:dyDescent="0.25">
      <c r="A165" s="3">
        <v>163</v>
      </c>
      <c r="B165" s="5">
        <f t="shared" si="4"/>
        <v>2.63</v>
      </c>
      <c r="C165" s="6">
        <f t="shared" si="5"/>
        <v>3.8022813688212143E-3</v>
      </c>
    </row>
    <row r="166" spans="1:3" x14ac:dyDescent="0.25">
      <c r="A166" s="3">
        <v>164</v>
      </c>
      <c r="B166" s="5">
        <f t="shared" si="4"/>
        <v>2.6399999999999997</v>
      </c>
      <c r="C166" s="6">
        <f t="shared" si="5"/>
        <v>3.7878787878788955E-3</v>
      </c>
    </row>
    <row r="167" spans="1:3" x14ac:dyDescent="0.25">
      <c r="A167" s="3">
        <v>165</v>
      </c>
      <c r="B167" s="5">
        <f t="shared" si="4"/>
        <v>2.65</v>
      </c>
      <c r="C167" s="6">
        <f t="shared" si="5"/>
        <v>3.7735849056603765E-3</v>
      </c>
    </row>
    <row r="168" spans="1:3" x14ac:dyDescent="0.25">
      <c r="A168" s="3">
        <v>166</v>
      </c>
      <c r="B168" s="5">
        <f t="shared" si="4"/>
        <v>2.66</v>
      </c>
      <c r="C168" s="6">
        <f t="shared" si="5"/>
        <v>3.759398496240518E-3</v>
      </c>
    </row>
    <row r="169" spans="1:3" x14ac:dyDescent="0.25">
      <c r="A169" s="3">
        <v>167</v>
      </c>
      <c r="B169" s="5">
        <f t="shared" si="4"/>
        <v>2.67</v>
      </c>
      <c r="C169" s="6">
        <f t="shared" si="5"/>
        <v>3.7453183520599342E-3</v>
      </c>
    </row>
    <row r="170" spans="1:3" x14ac:dyDescent="0.25">
      <c r="A170" s="3">
        <v>168</v>
      </c>
      <c r="B170" s="5">
        <f t="shared" si="4"/>
        <v>2.6799999999999997</v>
      </c>
      <c r="C170" s="6">
        <f t="shared" si="5"/>
        <v>3.7313432835821558E-3</v>
      </c>
    </row>
    <row r="171" spans="1:3" x14ac:dyDescent="0.25">
      <c r="A171" s="3">
        <v>169</v>
      </c>
      <c r="B171" s="5">
        <f t="shared" si="4"/>
        <v>2.69</v>
      </c>
      <c r="C171" s="6">
        <f t="shared" si="5"/>
        <v>3.7174721189592308E-3</v>
      </c>
    </row>
    <row r="172" spans="1:3" x14ac:dyDescent="0.25">
      <c r="A172" s="3">
        <v>170</v>
      </c>
      <c r="B172" s="5">
        <f t="shared" si="4"/>
        <v>2.7</v>
      </c>
      <c r="C172" s="6">
        <f t="shared" si="5"/>
        <v>3.7037037037035425E-3</v>
      </c>
    </row>
    <row r="173" spans="1:3" x14ac:dyDescent="0.25">
      <c r="A173" s="3">
        <v>171</v>
      </c>
      <c r="B173" s="5">
        <f t="shared" si="4"/>
        <v>2.71</v>
      </c>
      <c r="C173" s="6">
        <f t="shared" si="5"/>
        <v>3.6900369003689537E-3</v>
      </c>
    </row>
    <row r="174" spans="1:3" x14ac:dyDescent="0.25">
      <c r="A174" s="3">
        <v>172</v>
      </c>
      <c r="B174" s="5">
        <f t="shared" si="4"/>
        <v>2.7199999999999998</v>
      </c>
      <c r="C174" s="6">
        <f t="shared" si="5"/>
        <v>3.6764705882352811E-3</v>
      </c>
    </row>
    <row r="175" spans="1:3" x14ac:dyDescent="0.25">
      <c r="A175" s="3">
        <v>173</v>
      </c>
      <c r="B175" s="5">
        <f t="shared" si="4"/>
        <v>2.73</v>
      </c>
      <c r="C175" s="6">
        <f t="shared" si="5"/>
        <v>3.66300366300365E-3</v>
      </c>
    </row>
    <row r="176" spans="1:3" x14ac:dyDescent="0.25">
      <c r="A176" s="3">
        <v>174</v>
      </c>
      <c r="B176" s="5">
        <f t="shared" si="4"/>
        <v>2.74</v>
      </c>
      <c r="C176" s="6">
        <f t="shared" si="5"/>
        <v>3.6496350364962904E-3</v>
      </c>
    </row>
    <row r="177" spans="1:3" x14ac:dyDescent="0.25">
      <c r="A177" s="3">
        <v>175</v>
      </c>
      <c r="B177" s="5">
        <f t="shared" si="4"/>
        <v>2.75</v>
      </c>
      <c r="C177" s="6">
        <f t="shared" si="5"/>
        <v>3.6363636363636598E-3</v>
      </c>
    </row>
    <row r="178" spans="1:3" x14ac:dyDescent="0.25">
      <c r="A178" s="3">
        <v>176</v>
      </c>
      <c r="B178" s="5">
        <f t="shared" si="4"/>
        <v>2.76</v>
      </c>
      <c r="C178" s="6">
        <f t="shared" si="5"/>
        <v>3.6231884057971175E-3</v>
      </c>
    </row>
    <row r="179" spans="1:3" x14ac:dyDescent="0.25">
      <c r="A179" s="3">
        <v>177</v>
      </c>
      <c r="B179" s="5">
        <f t="shared" si="4"/>
        <v>2.77</v>
      </c>
      <c r="C179" s="6">
        <f t="shared" si="5"/>
        <v>3.6101083032491488E-3</v>
      </c>
    </row>
    <row r="180" spans="1:3" x14ac:dyDescent="0.25">
      <c r="A180" s="3">
        <v>178</v>
      </c>
      <c r="B180" s="5">
        <f t="shared" si="4"/>
        <v>2.7800000000000002</v>
      </c>
      <c r="C180" s="6">
        <f t="shared" si="5"/>
        <v>3.597122302158251E-3</v>
      </c>
    </row>
    <row r="181" spans="1:3" x14ac:dyDescent="0.25">
      <c r="A181" s="3">
        <v>179</v>
      </c>
      <c r="B181" s="5">
        <f t="shared" si="4"/>
        <v>2.79</v>
      </c>
      <c r="C181" s="6">
        <f t="shared" si="5"/>
        <v>3.5842293906809264E-3</v>
      </c>
    </row>
    <row r="182" spans="1:3" x14ac:dyDescent="0.25">
      <c r="A182" s="3">
        <v>180</v>
      </c>
      <c r="B182" s="5">
        <f t="shared" si="4"/>
        <v>2.8</v>
      </c>
      <c r="C182" s="6">
        <f t="shared" si="5"/>
        <v>3.5714285714285587E-3</v>
      </c>
    </row>
    <row r="183" spans="1:3" x14ac:dyDescent="0.25">
      <c r="A183" s="3">
        <v>181</v>
      </c>
      <c r="B183" s="5">
        <f t="shared" si="4"/>
        <v>2.81</v>
      </c>
      <c r="C183" s="6">
        <f t="shared" si="5"/>
        <v>3.558718861210064E-3</v>
      </c>
    </row>
    <row r="184" spans="1:3" x14ac:dyDescent="0.25">
      <c r="A184" s="3">
        <v>182</v>
      </c>
      <c r="B184" s="5">
        <f t="shared" si="4"/>
        <v>2.8200000000000003</v>
      </c>
      <c r="C184" s="6">
        <f t="shared" si="5"/>
        <v>3.5460992907800915E-3</v>
      </c>
    </row>
    <row r="185" spans="1:3" x14ac:dyDescent="0.25">
      <c r="A185" s="3">
        <v>183</v>
      </c>
      <c r="B185" s="5">
        <f t="shared" si="4"/>
        <v>2.83</v>
      </c>
      <c r="C185" s="6">
        <f t="shared" si="5"/>
        <v>3.5335689045936647E-3</v>
      </c>
    </row>
    <row r="186" spans="1:3" x14ac:dyDescent="0.25">
      <c r="A186" s="3">
        <v>184</v>
      </c>
      <c r="B186" s="5">
        <f t="shared" si="4"/>
        <v>2.84</v>
      </c>
      <c r="C186" s="6">
        <f t="shared" si="5"/>
        <v>3.5211267605634866E-3</v>
      </c>
    </row>
    <row r="187" spans="1:3" x14ac:dyDescent="0.25">
      <c r="A187" s="3">
        <v>185</v>
      </c>
      <c r="B187" s="5">
        <f t="shared" si="4"/>
        <v>2.85</v>
      </c>
      <c r="C187" s="6">
        <f t="shared" si="5"/>
        <v>3.5087719298245723E-3</v>
      </c>
    </row>
    <row r="188" spans="1:3" x14ac:dyDescent="0.25">
      <c r="A188" s="3">
        <v>186</v>
      </c>
      <c r="B188" s="5">
        <f t="shared" si="4"/>
        <v>2.8600000000000003</v>
      </c>
      <c r="C188" s="6">
        <f t="shared" si="5"/>
        <v>3.4965034965033226E-3</v>
      </c>
    </row>
    <row r="189" spans="1:3" x14ac:dyDescent="0.25">
      <c r="A189" s="3">
        <v>187</v>
      </c>
      <c r="B189" s="5">
        <f t="shared" si="4"/>
        <v>2.87</v>
      </c>
      <c r="C189" s="6">
        <f t="shared" si="5"/>
        <v>3.4843205574912606E-3</v>
      </c>
    </row>
    <row r="190" spans="1:3" x14ac:dyDescent="0.25">
      <c r="A190" s="3">
        <v>188</v>
      </c>
      <c r="B190" s="5">
        <f t="shared" si="4"/>
        <v>2.88</v>
      </c>
      <c r="C190" s="6">
        <f t="shared" si="5"/>
        <v>3.4722222222220989E-3</v>
      </c>
    </row>
    <row r="191" spans="1:3" x14ac:dyDescent="0.25">
      <c r="A191" s="3">
        <v>189</v>
      </c>
      <c r="B191" s="5">
        <f t="shared" si="4"/>
        <v>2.8899999999999997</v>
      </c>
      <c r="C191" s="6">
        <f t="shared" si="5"/>
        <v>3.4602076124568004E-3</v>
      </c>
    </row>
    <row r="192" spans="1:3" x14ac:dyDescent="0.25">
      <c r="A192" s="3">
        <v>190</v>
      </c>
      <c r="B192" s="5">
        <f t="shared" si="4"/>
        <v>2.9</v>
      </c>
      <c r="C192" s="6">
        <f t="shared" si="5"/>
        <v>3.4482758620690834E-3</v>
      </c>
    </row>
    <row r="193" spans="1:3" x14ac:dyDescent="0.25">
      <c r="A193" s="3">
        <v>191</v>
      </c>
      <c r="B193" s="5">
        <f t="shared" si="4"/>
        <v>2.91</v>
      </c>
      <c r="C193" s="6">
        <f t="shared" si="5"/>
        <v>3.4364261168384758E-3</v>
      </c>
    </row>
    <row r="194" spans="1:3" x14ac:dyDescent="0.25">
      <c r="A194" s="3">
        <v>192</v>
      </c>
      <c r="B194" s="5">
        <f t="shared" ref="B194:B257" si="6">1+A194/100</f>
        <v>2.92</v>
      </c>
      <c r="C194" s="6">
        <f t="shared" ref="C194:C257" si="7">B195/B194-1</f>
        <v>3.424657534246478E-3</v>
      </c>
    </row>
    <row r="195" spans="1:3" x14ac:dyDescent="0.25">
      <c r="A195" s="3">
        <v>193</v>
      </c>
      <c r="B195" s="5">
        <f t="shared" si="6"/>
        <v>2.9299999999999997</v>
      </c>
      <c r="C195" s="6">
        <f t="shared" si="7"/>
        <v>3.4129692832765013E-3</v>
      </c>
    </row>
    <row r="196" spans="1:3" x14ac:dyDescent="0.25">
      <c r="A196" s="3">
        <v>194</v>
      </c>
      <c r="B196" s="5">
        <f t="shared" si="6"/>
        <v>2.94</v>
      </c>
      <c r="C196" s="6">
        <f t="shared" si="7"/>
        <v>3.4013605442178019E-3</v>
      </c>
    </row>
    <row r="197" spans="1:3" x14ac:dyDescent="0.25">
      <c r="A197" s="3">
        <v>195</v>
      </c>
      <c r="B197" s="5">
        <f t="shared" si="6"/>
        <v>2.95</v>
      </c>
      <c r="C197" s="6">
        <f t="shared" si="7"/>
        <v>3.3898305084745228E-3</v>
      </c>
    </row>
    <row r="198" spans="1:3" x14ac:dyDescent="0.25">
      <c r="A198" s="3">
        <v>196</v>
      </c>
      <c r="B198" s="5">
        <f t="shared" si="6"/>
        <v>2.96</v>
      </c>
      <c r="C198" s="6">
        <f t="shared" si="7"/>
        <v>3.3783783783782884E-3</v>
      </c>
    </row>
    <row r="199" spans="1:3" x14ac:dyDescent="0.25">
      <c r="A199" s="3">
        <v>197</v>
      </c>
      <c r="B199" s="5">
        <f t="shared" si="6"/>
        <v>2.9699999999999998</v>
      </c>
      <c r="C199" s="6">
        <f t="shared" si="7"/>
        <v>3.3670033670034627E-3</v>
      </c>
    </row>
    <row r="200" spans="1:3" x14ac:dyDescent="0.25">
      <c r="A200" s="3">
        <v>198</v>
      </c>
      <c r="B200" s="5">
        <f t="shared" si="6"/>
        <v>2.98</v>
      </c>
      <c r="C200" s="6">
        <f t="shared" si="7"/>
        <v>3.3557046979866278E-3</v>
      </c>
    </row>
    <row r="201" spans="1:3" x14ac:dyDescent="0.25">
      <c r="A201" s="3">
        <v>199</v>
      </c>
      <c r="B201" s="5">
        <f t="shared" si="6"/>
        <v>2.99</v>
      </c>
      <c r="C201" s="6">
        <f t="shared" si="7"/>
        <v>3.3444816053511683E-3</v>
      </c>
    </row>
    <row r="202" spans="1:3" x14ac:dyDescent="0.25">
      <c r="A202" s="3">
        <v>200</v>
      </c>
      <c r="B202" s="5">
        <f t="shared" si="6"/>
        <v>3</v>
      </c>
      <c r="C202" s="6">
        <f t="shared" si="7"/>
        <v>3.3333333333331883E-3</v>
      </c>
    </row>
    <row r="203" spans="1:3" x14ac:dyDescent="0.25">
      <c r="A203" s="3">
        <v>201</v>
      </c>
      <c r="B203" s="5">
        <f t="shared" si="6"/>
        <v>3.01</v>
      </c>
      <c r="C203" s="6">
        <f t="shared" si="7"/>
        <v>3.3222591362127574E-3</v>
      </c>
    </row>
    <row r="204" spans="1:3" x14ac:dyDescent="0.25">
      <c r="A204" s="3">
        <v>202</v>
      </c>
      <c r="B204" s="5">
        <f t="shared" si="6"/>
        <v>3.02</v>
      </c>
      <c r="C204" s="6">
        <f t="shared" si="7"/>
        <v>3.3112582781456013E-3</v>
      </c>
    </row>
    <row r="205" spans="1:3" x14ac:dyDescent="0.25">
      <c r="A205" s="3">
        <v>203</v>
      </c>
      <c r="B205" s="5">
        <f t="shared" si="6"/>
        <v>3.03</v>
      </c>
      <c r="C205" s="6">
        <f t="shared" si="7"/>
        <v>3.3003300330034513E-3</v>
      </c>
    </row>
    <row r="206" spans="1:3" x14ac:dyDescent="0.25">
      <c r="A206" s="3">
        <v>204</v>
      </c>
      <c r="B206" s="5">
        <f t="shared" si="6"/>
        <v>3.04</v>
      </c>
      <c r="C206" s="6">
        <f t="shared" si="7"/>
        <v>3.2894736842103978E-3</v>
      </c>
    </row>
    <row r="207" spans="1:3" x14ac:dyDescent="0.25">
      <c r="A207" s="3">
        <v>205</v>
      </c>
      <c r="B207" s="5">
        <f t="shared" si="6"/>
        <v>3.05</v>
      </c>
      <c r="C207" s="6">
        <f t="shared" si="7"/>
        <v>3.2786885245903452E-3</v>
      </c>
    </row>
    <row r="208" spans="1:3" x14ac:dyDescent="0.25">
      <c r="A208" s="3">
        <v>206</v>
      </c>
      <c r="B208" s="5">
        <f t="shared" si="6"/>
        <v>3.06</v>
      </c>
      <c r="C208" s="6">
        <f t="shared" si="7"/>
        <v>3.2679738562091387E-3</v>
      </c>
    </row>
    <row r="209" spans="1:3" x14ac:dyDescent="0.25">
      <c r="A209" s="3">
        <v>207</v>
      </c>
      <c r="B209" s="5">
        <f t="shared" si="6"/>
        <v>3.07</v>
      </c>
      <c r="C209" s="6">
        <f t="shared" si="7"/>
        <v>3.2573289902280145E-3</v>
      </c>
    </row>
    <row r="210" spans="1:3" x14ac:dyDescent="0.25">
      <c r="A210" s="3">
        <v>208</v>
      </c>
      <c r="B210" s="5">
        <f t="shared" si="6"/>
        <v>3.08</v>
      </c>
      <c r="C210" s="6">
        <f t="shared" si="7"/>
        <v>3.2467532467532756E-3</v>
      </c>
    </row>
    <row r="211" spans="1:3" x14ac:dyDescent="0.25">
      <c r="A211" s="3">
        <v>209</v>
      </c>
      <c r="B211" s="5">
        <f t="shared" si="6"/>
        <v>3.09</v>
      </c>
      <c r="C211" s="6">
        <f t="shared" si="7"/>
        <v>3.2362459546926292E-3</v>
      </c>
    </row>
    <row r="212" spans="1:3" x14ac:dyDescent="0.25">
      <c r="A212" s="3">
        <v>210</v>
      </c>
      <c r="B212" s="5">
        <f t="shared" si="6"/>
        <v>3.1</v>
      </c>
      <c r="C212" s="6">
        <f t="shared" si="7"/>
        <v>3.225806451612856E-3</v>
      </c>
    </row>
    <row r="213" spans="1:3" x14ac:dyDescent="0.25">
      <c r="A213" s="3">
        <v>211</v>
      </c>
      <c r="B213" s="5">
        <f t="shared" si="6"/>
        <v>3.11</v>
      </c>
      <c r="C213" s="6">
        <f t="shared" si="7"/>
        <v>3.215434083601254E-3</v>
      </c>
    </row>
    <row r="214" spans="1:3" x14ac:dyDescent="0.25">
      <c r="A214" s="3">
        <v>212</v>
      </c>
      <c r="B214" s="5">
        <f t="shared" si="6"/>
        <v>3.12</v>
      </c>
      <c r="C214" s="6">
        <f t="shared" si="7"/>
        <v>3.2051282051281937E-3</v>
      </c>
    </row>
    <row r="215" spans="1:3" x14ac:dyDescent="0.25">
      <c r="A215" s="3">
        <v>213</v>
      </c>
      <c r="B215" s="5">
        <f t="shared" si="6"/>
        <v>3.13</v>
      </c>
      <c r="C215" s="6">
        <f t="shared" si="7"/>
        <v>3.1948881789138905E-3</v>
      </c>
    </row>
    <row r="216" spans="1:3" x14ac:dyDescent="0.25">
      <c r="A216" s="3">
        <v>214</v>
      </c>
      <c r="B216" s="5">
        <f t="shared" si="6"/>
        <v>3.14</v>
      </c>
      <c r="C216" s="6">
        <f t="shared" si="7"/>
        <v>3.1847133757960666E-3</v>
      </c>
    </row>
    <row r="217" spans="1:3" x14ac:dyDescent="0.25">
      <c r="A217" s="3">
        <v>215</v>
      </c>
      <c r="B217" s="5">
        <f t="shared" si="6"/>
        <v>3.15</v>
      </c>
      <c r="C217" s="6">
        <f t="shared" si="7"/>
        <v>3.1746031746031633E-3</v>
      </c>
    </row>
    <row r="218" spans="1:3" x14ac:dyDescent="0.25">
      <c r="A218" s="3">
        <v>216</v>
      </c>
      <c r="B218" s="5">
        <f t="shared" si="6"/>
        <v>3.16</v>
      </c>
      <c r="C218" s="6">
        <f t="shared" si="7"/>
        <v>3.1645569620253333E-3</v>
      </c>
    </row>
    <row r="219" spans="1:3" x14ac:dyDescent="0.25">
      <c r="A219" s="3">
        <v>217</v>
      </c>
      <c r="B219" s="5">
        <f t="shared" si="6"/>
        <v>3.17</v>
      </c>
      <c r="C219" s="6">
        <f t="shared" si="7"/>
        <v>3.154574132492094E-3</v>
      </c>
    </row>
    <row r="220" spans="1:3" x14ac:dyDescent="0.25">
      <c r="A220" s="3">
        <v>218</v>
      </c>
      <c r="B220" s="5">
        <f t="shared" si="6"/>
        <v>3.18</v>
      </c>
      <c r="C220" s="6">
        <f t="shared" si="7"/>
        <v>3.1446540880502027E-3</v>
      </c>
    </row>
    <row r="221" spans="1:3" x14ac:dyDescent="0.25">
      <c r="A221" s="3">
        <v>219</v>
      </c>
      <c r="B221" s="5">
        <f t="shared" si="6"/>
        <v>3.19</v>
      </c>
      <c r="C221" s="6">
        <f t="shared" si="7"/>
        <v>3.1347962382446415E-3</v>
      </c>
    </row>
    <row r="222" spans="1:3" x14ac:dyDescent="0.25">
      <c r="A222" s="3">
        <v>220</v>
      </c>
      <c r="B222" s="5">
        <f t="shared" si="6"/>
        <v>3.2</v>
      </c>
      <c r="C222" s="6">
        <f t="shared" si="7"/>
        <v>3.1249999999998224E-3</v>
      </c>
    </row>
    <row r="223" spans="1:3" x14ac:dyDescent="0.25">
      <c r="A223" s="3">
        <v>221</v>
      </c>
      <c r="B223" s="5">
        <f t="shared" si="6"/>
        <v>3.21</v>
      </c>
      <c r="C223" s="6">
        <f t="shared" si="7"/>
        <v>3.1152647975078995E-3</v>
      </c>
    </row>
    <row r="224" spans="1:3" x14ac:dyDescent="0.25">
      <c r="A224" s="3">
        <v>222</v>
      </c>
      <c r="B224" s="5">
        <f t="shared" si="6"/>
        <v>3.22</v>
      </c>
      <c r="C224" s="6">
        <f t="shared" si="7"/>
        <v>3.1055900621117516E-3</v>
      </c>
    </row>
    <row r="225" spans="1:3" x14ac:dyDescent="0.25">
      <c r="A225" s="3">
        <v>223</v>
      </c>
      <c r="B225" s="5">
        <f t="shared" si="6"/>
        <v>3.23</v>
      </c>
      <c r="C225" s="6">
        <f t="shared" si="7"/>
        <v>3.0959752321981782E-3</v>
      </c>
    </row>
    <row r="226" spans="1:3" x14ac:dyDescent="0.25">
      <c r="A226" s="3">
        <v>224</v>
      </c>
      <c r="B226" s="5">
        <f t="shared" si="6"/>
        <v>3.24</v>
      </c>
      <c r="C226" s="6">
        <f t="shared" si="7"/>
        <v>3.0864197530864335E-3</v>
      </c>
    </row>
    <row r="227" spans="1:3" x14ac:dyDescent="0.25">
      <c r="A227" s="3">
        <v>225</v>
      </c>
      <c r="B227" s="5">
        <f t="shared" si="6"/>
        <v>3.25</v>
      </c>
      <c r="C227" s="6">
        <f t="shared" si="7"/>
        <v>3.0769230769229772E-3</v>
      </c>
    </row>
    <row r="228" spans="1:3" x14ac:dyDescent="0.25">
      <c r="A228" s="3">
        <v>226</v>
      </c>
      <c r="B228" s="5">
        <f t="shared" si="6"/>
        <v>3.26</v>
      </c>
      <c r="C228" s="6">
        <f t="shared" si="7"/>
        <v>3.0674846625766694E-3</v>
      </c>
    </row>
    <row r="229" spans="1:3" x14ac:dyDescent="0.25">
      <c r="A229" s="3">
        <v>227</v>
      </c>
      <c r="B229" s="5">
        <f t="shared" si="6"/>
        <v>3.27</v>
      </c>
      <c r="C229" s="6">
        <f t="shared" si="7"/>
        <v>3.0581039755350758E-3</v>
      </c>
    </row>
    <row r="230" spans="1:3" x14ac:dyDescent="0.25">
      <c r="A230" s="3">
        <v>228</v>
      </c>
      <c r="B230" s="5">
        <f t="shared" si="6"/>
        <v>3.28</v>
      </c>
      <c r="C230" s="6">
        <f t="shared" si="7"/>
        <v>3.0487804878049918E-3</v>
      </c>
    </row>
    <row r="231" spans="1:3" x14ac:dyDescent="0.25">
      <c r="A231" s="3">
        <v>229</v>
      </c>
      <c r="B231" s="5">
        <f t="shared" si="6"/>
        <v>3.29</v>
      </c>
      <c r="C231" s="6">
        <f t="shared" si="7"/>
        <v>3.0395136778114118E-3</v>
      </c>
    </row>
    <row r="232" spans="1:3" x14ac:dyDescent="0.25">
      <c r="A232" s="3">
        <v>230</v>
      </c>
      <c r="B232" s="5">
        <f t="shared" si="6"/>
        <v>3.3</v>
      </c>
      <c r="C232" s="6">
        <f t="shared" si="7"/>
        <v>3.0303030303031608E-3</v>
      </c>
    </row>
    <row r="233" spans="1:3" x14ac:dyDescent="0.25">
      <c r="A233" s="3">
        <v>231</v>
      </c>
      <c r="B233" s="5">
        <f t="shared" si="6"/>
        <v>3.31</v>
      </c>
      <c r="C233" s="6">
        <f t="shared" si="7"/>
        <v>3.0211480362536403E-3</v>
      </c>
    </row>
    <row r="234" spans="1:3" x14ac:dyDescent="0.25">
      <c r="A234" s="3">
        <v>232</v>
      </c>
      <c r="B234" s="5">
        <f t="shared" si="6"/>
        <v>3.32</v>
      </c>
      <c r="C234" s="6">
        <f t="shared" si="7"/>
        <v>3.0120481927711218E-3</v>
      </c>
    </row>
    <row r="235" spans="1:3" x14ac:dyDescent="0.25">
      <c r="A235" s="3">
        <v>233</v>
      </c>
      <c r="B235" s="5">
        <f t="shared" si="6"/>
        <v>3.33</v>
      </c>
      <c r="C235" s="6">
        <f t="shared" si="7"/>
        <v>3.0030030030030463E-3</v>
      </c>
    </row>
    <row r="236" spans="1:3" x14ac:dyDescent="0.25">
      <c r="A236" s="3">
        <v>234</v>
      </c>
      <c r="B236" s="5">
        <f t="shared" si="6"/>
        <v>3.34</v>
      </c>
      <c r="C236" s="6">
        <f t="shared" si="7"/>
        <v>2.9940119760478723E-3</v>
      </c>
    </row>
    <row r="237" spans="1:3" x14ac:dyDescent="0.25">
      <c r="A237" s="3">
        <v>235</v>
      </c>
      <c r="B237" s="5">
        <f t="shared" si="6"/>
        <v>3.35</v>
      </c>
      <c r="C237" s="6">
        <f t="shared" si="7"/>
        <v>2.9850746268655914E-3</v>
      </c>
    </row>
    <row r="238" spans="1:3" x14ac:dyDescent="0.25">
      <c r="A238" s="3">
        <v>236</v>
      </c>
      <c r="B238" s="5">
        <f t="shared" si="6"/>
        <v>3.36</v>
      </c>
      <c r="C238" s="6">
        <f t="shared" si="7"/>
        <v>2.9761904761904656E-3</v>
      </c>
    </row>
    <row r="239" spans="1:3" x14ac:dyDescent="0.25">
      <c r="A239" s="3">
        <v>237</v>
      </c>
      <c r="B239" s="5">
        <f t="shared" si="6"/>
        <v>3.37</v>
      </c>
      <c r="C239" s="6">
        <f t="shared" si="7"/>
        <v>2.9673590504450953E-3</v>
      </c>
    </row>
    <row r="240" spans="1:3" x14ac:dyDescent="0.25">
      <c r="A240" s="3">
        <v>238</v>
      </c>
      <c r="B240" s="5">
        <f t="shared" si="6"/>
        <v>3.38</v>
      </c>
      <c r="C240" s="6">
        <f t="shared" si="7"/>
        <v>2.9585798816569309E-3</v>
      </c>
    </row>
    <row r="241" spans="1:3" x14ac:dyDescent="0.25">
      <c r="A241" s="3">
        <v>239</v>
      </c>
      <c r="B241" s="5">
        <f t="shared" si="6"/>
        <v>3.39</v>
      </c>
      <c r="C241" s="6">
        <f t="shared" si="7"/>
        <v>2.9498525073745618E-3</v>
      </c>
    </row>
    <row r="242" spans="1:3" x14ac:dyDescent="0.25">
      <c r="A242" s="3">
        <v>240</v>
      </c>
      <c r="B242" s="5">
        <f t="shared" si="6"/>
        <v>3.4</v>
      </c>
      <c r="C242" s="6">
        <f t="shared" si="7"/>
        <v>2.9411764705882248E-3</v>
      </c>
    </row>
    <row r="243" spans="1:3" x14ac:dyDescent="0.25">
      <c r="A243" s="3">
        <v>241</v>
      </c>
      <c r="B243" s="5">
        <f t="shared" si="6"/>
        <v>3.41</v>
      </c>
      <c r="C243" s="6">
        <f t="shared" si="7"/>
        <v>2.9325513196480912E-3</v>
      </c>
    </row>
    <row r="244" spans="1:3" x14ac:dyDescent="0.25">
      <c r="A244" s="3">
        <v>242</v>
      </c>
      <c r="B244" s="5">
        <f t="shared" si="6"/>
        <v>3.42</v>
      </c>
      <c r="C244" s="6">
        <f t="shared" si="7"/>
        <v>2.9239766081872176E-3</v>
      </c>
    </row>
    <row r="245" spans="1:3" x14ac:dyDescent="0.25">
      <c r="A245" s="3">
        <v>243</v>
      </c>
      <c r="B245" s="5">
        <f t="shared" si="6"/>
        <v>3.43</v>
      </c>
      <c r="C245" s="6">
        <f t="shared" si="7"/>
        <v>2.9154518950436081E-3</v>
      </c>
    </row>
    <row r="246" spans="1:3" x14ac:dyDescent="0.25">
      <c r="A246" s="3">
        <v>244</v>
      </c>
      <c r="B246" s="5">
        <f t="shared" si="6"/>
        <v>3.44</v>
      </c>
      <c r="C246" s="6">
        <f t="shared" si="7"/>
        <v>2.9069767441860517E-3</v>
      </c>
    </row>
    <row r="247" spans="1:3" x14ac:dyDescent="0.25">
      <c r="A247" s="3">
        <v>245</v>
      </c>
      <c r="B247" s="5">
        <f t="shared" si="6"/>
        <v>3.45</v>
      </c>
      <c r="C247" s="6">
        <f t="shared" si="7"/>
        <v>2.8985507246375164E-3</v>
      </c>
    </row>
    <row r="248" spans="1:3" x14ac:dyDescent="0.25">
      <c r="A248" s="3">
        <v>246</v>
      </c>
      <c r="B248" s="5">
        <f t="shared" si="6"/>
        <v>3.46</v>
      </c>
      <c r="C248" s="6">
        <f t="shared" si="7"/>
        <v>2.8901734104047616E-3</v>
      </c>
    </row>
    <row r="249" spans="1:3" x14ac:dyDescent="0.25">
      <c r="A249" s="3">
        <v>247</v>
      </c>
      <c r="B249" s="5">
        <f t="shared" si="6"/>
        <v>3.47</v>
      </c>
      <c r="C249" s="6">
        <f t="shared" si="7"/>
        <v>2.8818443804032867E-3</v>
      </c>
    </row>
    <row r="250" spans="1:3" x14ac:dyDescent="0.25">
      <c r="A250" s="3">
        <v>248</v>
      </c>
      <c r="B250" s="5">
        <f t="shared" si="6"/>
        <v>3.48</v>
      </c>
      <c r="C250" s="6">
        <f t="shared" si="7"/>
        <v>2.8735632183909399E-3</v>
      </c>
    </row>
    <row r="251" spans="1:3" x14ac:dyDescent="0.25">
      <c r="A251" s="3">
        <v>249</v>
      </c>
      <c r="B251" s="5">
        <f t="shared" si="6"/>
        <v>3.49</v>
      </c>
      <c r="C251" s="6">
        <f t="shared" si="7"/>
        <v>2.8653295128939771E-3</v>
      </c>
    </row>
    <row r="252" spans="1:3" x14ac:dyDescent="0.25">
      <c r="A252" s="3">
        <v>250</v>
      </c>
      <c r="B252" s="5">
        <f t="shared" si="6"/>
        <v>3.5</v>
      </c>
      <c r="C252" s="6">
        <f t="shared" si="7"/>
        <v>2.8571428571428914E-3</v>
      </c>
    </row>
    <row r="253" spans="1:3" x14ac:dyDescent="0.25">
      <c r="A253" s="3">
        <v>251</v>
      </c>
      <c r="B253" s="5">
        <f t="shared" si="6"/>
        <v>3.51</v>
      </c>
      <c r="C253" s="6">
        <f t="shared" si="7"/>
        <v>2.8490028490029129E-3</v>
      </c>
    </row>
    <row r="254" spans="1:3" x14ac:dyDescent="0.25">
      <c r="A254" s="3">
        <v>252</v>
      </c>
      <c r="B254" s="5">
        <f t="shared" si="6"/>
        <v>3.52</v>
      </c>
      <c r="C254" s="6">
        <f t="shared" si="7"/>
        <v>2.8409090909089496E-3</v>
      </c>
    </row>
    <row r="255" spans="1:3" x14ac:dyDescent="0.25">
      <c r="A255" s="3">
        <v>253</v>
      </c>
      <c r="B255" s="5">
        <f t="shared" si="6"/>
        <v>3.53</v>
      </c>
      <c r="C255" s="6">
        <f t="shared" si="7"/>
        <v>2.8328611898018607E-3</v>
      </c>
    </row>
    <row r="256" spans="1:3" x14ac:dyDescent="0.25">
      <c r="A256" s="3">
        <v>254</v>
      </c>
      <c r="B256" s="5">
        <f t="shared" si="6"/>
        <v>3.54</v>
      </c>
      <c r="C256" s="6">
        <f t="shared" si="7"/>
        <v>2.8248587570620654E-3</v>
      </c>
    </row>
    <row r="257" spans="1:3" x14ac:dyDescent="0.25">
      <c r="A257" s="3">
        <v>255</v>
      </c>
      <c r="B257" s="5">
        <f t="shared" si="6"/>
        <v>3.55</v>
      </c>
      <c r="C257" s="6">
        <f t="shared" si="7"/>
        <v>2.8169014084507005E-3</v>
      </c>
    </row>
    <row r="258" spans="1:3" x14ac:dyDescent="0.25">
      <c r="A258" s="3">
        <v>256</v>
      </c>
      <c r="B258" s="5">
        <f t="shared" ref="B258:B321" si="8">1+A258/100</f>
        <v>3.56</v>
      </c>
      <c r="C258" s="6">
        <f t="shared" ref="C258:C321" si="9">B259/B258-1</f>
        <v>2.8089887640447841E-3</v>
      </c>
    </row>
    <row r="259" spans="1:3" x14ac:dyDescent="0.25">
      <c r="A259" s="3">
        <v>257</v>
      </c>
      <c r="B259" s="5">
        <f t="shared" si="8"/>
        <v>3.57</v>
      </c>
      <c r="C259" s="6">
        <f t="shared" si="9"/>
        <v>2.8011204481792618E-3</v>
      </c>
    </row>
    <row r="260" spans="1:3" x14ac:dyDescent="0.25">
      <c r="A260" s="3">
        <v>258</v>
      </c>
      <c r="B260" s="5">
        <f t="shared" si="8"/>
        <v>3.58</v>
      </c>
      <c r="C260" s="6">
        <f t="shared" si="9"/>
        <v>2.7932960893854997E-3</v>
      </c>
    </row>
    <row r="261" spans="1:3" x14ac:dyDescent="0.25">
      <c r="A261" s="3">
        <v>259</v>
      </c>
      <c r="B261" s="5">
        <f t="shared" si="8"/>
        <v>3.59</v>
      </c>
      <c r="C261" s="6">
        <f t="shared" si="9"/>
        <v>2.7855153203342198E-3</v>
      </c>
    </row>
    <row r="262" spans="1:3" x14ac:dyDescent="0.25">
      <c r="A262" s="3">
        <v>260</v>
      </c>
      <c r="B262" s="5">
        <f t="shared" si="8"/>
        <v>3.6</v>
      </c>
      <c r="C262" s="6">
        <f t="shared" si="9"/>
        <v>2.7777777777777679E-3</v>
      </c>
    </row>
    <row r="263" spans="1:3" x14ac:dyDescent="0.25">
      <c r="A263" s="3">
        <v>261</v>
      </c>
      <c r="B263" s="5">
        <f t="shared" si="8"/>
        <v>3.61</v>
      </c>
      <c r="C263" s="6">
        <f t="shared" si="9"/>
        <v>2.7700831024930483E-3</v>
      </c>
    </row>
    <row r="264" spans="1:3" x14ac:dyDescent="0.25">
      <c r="A264" s="3">
        <v>262</v>
      </c>
      <c r="B264" s="5">
        <f t="shared" si="8"/>
        <v>3.62</v>
      </c>
      <c r="C264" s="6">
        <f t="shared" si="9"/>
        <v>2.7624309392264568E-3</v>
      </c>
    </row>
    <row r="265" spans="1:3" x14ac:dyDescent="0.25">
      <c r="A265" s="3">
        <v>263</v>
      </c>
      <c r="B265" s="5">
        <f t="shared" si="8"/>
        <v>3.63</v>
      </c>
      <c r="C265" s="6">
        <f t="shared" si="9"/>
        <v>2.7548209366392573E-3</v>
      </c>
    </row>
    <row r="266" spans="1:3" x14ac:dyDescent="0.25">
      <c r="A266" s="3">
        <v>264</v>
      </c>
      <c r="B266" s="5">
        <f t="shared" si="8"/>
        <v>3.64</v>
      </c>
      <c r="C266" s="6">
        <f t="shared" si="9"/>
        <v>2.7472527472527375E-3</v>
      </c>
    </row>
    <row r="267" spans="1:3" x14ac:dyDescent="0.25">
      <c r="A267" s="3">
        <v>265</v>
      </c>
      <c r="B267" s="5">
        <f t="shared" si="8"/>
        <v>3.65</v>
      </c>
      <c r="C267" s="6">
        <f t="shared" si="9"/>
        <v>2.73972602739736E-3</v>
      </c>
    </row>
    <row r="268" spans="1:3" x14ac:dyDescent="0.25">
      <c r="A268" s="3">
        <v>266</v>
      </c>
      <c r="B268" s="5">
        <f t="shared" si="8"/>
        <v>3.66</v>
      </c>
      <c r="C268" s="6">
        <f t="shared" si="9"/>
        <v>2.732240437158362E-3</v>
      </c>
    </row>
    <row r="269" spans="1:3" x14ac:dyDescent="0.25">
      <c r="A269" s="3">
        <v>267</v>
      </c>
      <c r="B269" s="5">
        <f t="shared" si="8"/>
        <v>3.67</v>
      </c>
      <c r="C269" s="6">
        <f t="shared" si="9"/>
        <v>2.7247956403271267E-3</v>
      </c>
    </row>
    <row r="270" spans="1:3" x14ac:dyDescent="0.25">
      <c r="A270" s="3">
        <v>268</v>
      </c>
      <c r="B270" s="5">
        <f t="shared" si="8"/>
        <v>3.68</v>
      </c>
      <c r="C270" s="6">
        <f t="shared" si="9"/>
        <v>2.7173913043476716E-3</v>
      </c>
    </row>
    <row r="271" spans="1:3" x14ac:dyDescent="0.25">
      <c r="A271" s="3">
        <v>269</v>
      </c>
      <c r="B271" s="5">
        <f t="shared" si="8"/>
        <v>3.69</v>
      </c>
      <c r="C271" s="6">
        <f t="shared" si="9"/>
        <v>2.7100271002711285E-3</v>
      </c>
    </row>
    <row r="272" spans="1:3" x14ac:dyDescent="0.25">
      <c r="A272" s="3">
        <v>270</v>
      </c>
      <c r="B272" s="5">
        <f t="shared" si="8"/>
        <v>3.7</v>
      </c>
      <c r="C272" s="6">
        <f t="shared" si="9"/>
        <v>2.7027027027026751E-3</v>
      </c>
    </row>
    <row r="273" spans="1:3" x14ac:dyDescent="0.25">
      <c r="A273" s="3">
        <v>271</v>
      </c>
      <c r="B273" s="5">
        <f t="shared" si="8"/>
        <v>3.71</v>
      </c>
      <c r="C273" s="6">
        <f t="shared" si="9"/>
        <v>2.6954177897575704E-3</v>
      </c>
    </row>
    <row r="274" spans="1:3" x14ac:dyDescent="0.25">
      <c r="A274" s="3">
        <v>272</v>
      </c>
      <c r="B274" s="5">
        <f t="shared" si="8"/>
        <v>3.72</v>
      </c>
      <c r="C274" s="6">
        <f t="shared" si="9"/>
        <v>2.6881720430107503E-3</v>
      </c>
    </row>
    <row r="275" spans="1:3" x14ac:dyDescent="0.25">
      <c r="A275" s="3">
        <v>273</v>
      </c>
      <c r="B275" s="5">
        <f t="shared" si="8"/>
        <v>3.73</v>
      </c>
      <c r="C275" s="6">
        <f t="shared" si="9"/>
        <v>2.6809651474530849E-3</v>
      </c>
    </row>
    <row r="276" spans="1:3" x14ac:dyDescent="0.25">
      <c r="A276" s="3">
        <v>274</v>
      </c>
      <c r="B276" s="5">
        <f t="shared" si="8"/>
        <v>3.74</v>
      </c>
      <c r="C276" s="6">
        <f t="shared" si="9"/>
        <v>2.673796791443861E-3</v>
      </c>
    </row>
    <row r="277" spans="1:3" x14ac:dyDescent="0.25">
      <c r="A277" s="3">
        <v>275</v>
      </c>
      <c r="B277" s="5">
        <f t="shared" si="8"/>
        <v>3.75</v>
      </c>
      <c r="C277" s="6">
        <f t="shared" si="9"/>
        <v>2.666666666666595E-3</v>
      </c>
    </row>
    <row r="278" spans="1:3" x14ac:dyDescent="0.25">
      <c r="A278" s="3">
        <v>276</v>
      </c>
      <c r="B278" s="5">
        <f t="shared" si="8"/>
        <v>3.76</v>
      </c>
      <c r="C278" s="6">
        <f t="shared" si="9"/>
        <v>2.6595744680850686E-3</v>
      </c>
    </row>
    <row r="279" spans="1:3" x14ac:dyDescent="0.25">
      <c r="A279" s="3">
        <v>277</v>
      </c>
      <c r="B279" s="5">
        <f t="shared" si="8"/>
        <v>3.77</v>
      </c>
      <c r="C279" s="6">
        <f t="shared" si="9"/>
        <v>2.6525198938991412E-3</v>
      </c>
    </row>
    <row r="280" spans="1:3" x14ac:dyDescent="0.25">
      <c r="A280" s="3">
        <v>278</v>
      </c>
      <c r="B280" s="5">
        <f t="shared" si="8"/>
        <v>3.78</v>
      </c>
      <c r="C280" s="6">
        <f t="shared" si="9"/>
        <v>2.6455026455027841E-3</v>
      </c>
    </row>
    <row r="281" spans="1:3" x14ac:dyDescent="0.25">
      <c r="A281" s="3">
        <v>279</v>
      </c>
      <c r="B281" s="5">
        <f t="shared" si="8"/>
        <v>3.79</v>
      </c>
      <c r="C281" s="6">
        <f t="shared" si="9"/>
        <v>2.6385224274405594E-3</v>
      </c>
    </row>
    <row r="282" spans="1:3" x14ac:dyDescent="0.25">
      <c r="A282" s="3">
        <v>280</v>
      </c>
      <c r="B282" s="5">
        <f t="shared" si="8"/>
        <v>3.8</v>
      </c>
      <c r="C282" s="6">
        <f t="shared" si="9"/>
        <v>2.6315789473685403E-3</v>
      </c>
    </row>
    <row r="283" spans="1:3" x14ac:dyDescent="0.25">
      <c r="A283" s="3">
        <v>281</v>
      </c>
      <c r="B283" s="5">
        <f t="shared" si="8"/>
        <v>3.81</v>
      </c>
      <c r="C283" s="6">
        <f t="shared" si="9"/>
        <v>2.624671916010346E-3</v>
      </c>
    </row>
    <row r="284" spans="1:3" x14ac:dyDescent="0.25">
      <c r="A284" s="3">
        <v>282</v>
      </c>
      <c r="B284" s="5">
        <f t="shared" si="8"/>
        <v>3.82</v>
      </c>
      <c r="C284" s="6">
        <f t="shared" si="9"/>
        <v>2.6178010471205049E-3</v>
      </c>
    </row>
    <row r="285" spans="1:3" x14ac:dyDescent="0.25">
      <c r="A285" s="3">
        <v>283</v>
      </c>
      <c r="B285" s="5">
        <f t="shared" si="8"/>
        <v>3.83</v>
      </c>
      <c r="C285" s="6">
        <f t="shared" si="9"/>
        <v>2.6109660574411553E-3</v>
      </c>
    </row>
    <row r="286" spans="1:3" x14ac:dyDescent="0.25">
      <c r="A286" s="3">
        <v>284</v>
      </c>
      <c r="B286" s="5">
        <f t="shared" si="8"/>
        <v>3.84</v>
      </c>
      <c r="C286" s="6">
        <f t="shared" si="9"/>
        <v>2.6041666666667407E-3</v>
      </c>
    </row>
    <row r="287" spans="1:3" x14ac:dyDescent="0.25">
      <c r="A287" s="3">
        <v>285</v>
      </c>
      <c r="B287" s="5">
        <f t="shared" si="8"/>
        <v>3.85</v>
      </c>
      <c r="C287" s="6">
        <f t="shared" si="9"/>
        <v>2.5974025974024872E-3</v>
      </c>
    </row>
    <row r="288" spans="1:3" x14ac:dyDescent="0.25">
      <c r="A288" s="3">
        <v>286</v>
      </c>
      <c r="B288" s="5">
        <f t="shared" si="8"/>
        <v>3.86</v>
      </c>
      <c r="C288" s="6">
        <f t="shared" si="9"/>
        <v>2.5906735751295429E-3</v>
      </c>
    </row>
    <row r="289" spans="1:3" x14ac:dyDescent="0.25">
      <c r="A289" s="3">
        <v>287</v>
      </c>
      <c r="B289" s="5">
        <f t="shared" si="8"/>
        <v>3.87</v>
      </c>
      <c r="C289" s="6">
        <f t="shared" si="9"/>
        <v>2.5839793281652312E-3</v>
      </c>
    </row>
    <row r="290" spans="1:3" x14ac:dyDescent="0.25">
      <c r="A290" s="3">
        <v>288</v>
      </c>
      <c r="B290" s="5">
        <f t="shared" si="8"/>
        <v>3.88</v>
      </c>
      <c r="C290" s="6">
        <f t="shared" si="9"/>
        <v>2.5773195876288568E-3</v>
      </c>
    </row>
    <row r="291" spans="1:3" x14ac:dyDescent="0.25">
      <c r="A291" s="3">
        <v>289</v>
      </c>
      <c r="B291" s="5">
        <f t="shared" si="8"/>
        <v>3.89</v>
      </c>
      <c r="C291" s="6">
        <f t="shared" si="9"/>
        <v>2.5706940874035134E-3</v>
      </c>
    </row>
    <row r="292" spans="1:3" x14ac:dyDescent="0.25">
      <c r="A292" s="3">
        <v>290</v>
      </c>
      <c r="B292" s="5">
        <f t="shared" si="8"/>
        <v>3.9</v>
      </c>
      <c r="C292" s="6">
        <f t="shared" si="9"/>
        <v>2.564102564102555E-3</v>
      </c>
    </row>
    <row r="293" spans="1:3" x14ac:dyDescent="0.25">
      <c r="A293" s="3">
        <v>291</v>
      </c>
      <c r="B293" s="5">
        <f t="shared" si="8"/>
        <v>3.91</v>
      </c>
      <c r="C293" s="6">
        <f t="shared" si="9"/>
        <v>2.5575447570331811E-3</v>
      </c>
    </row>
    <row r="294" spans="1:3" x14ac:dyDescent="0.25">
      <c r="A294" s="3">
        <v>292</v>
      </c>
      <c r="B294" s="5">
        <f t="shared" si="8"/>
        <v>3.92</v>
      </c>
      <c r="C294" s="6">
        <f t="shared" si="9"/>
        <v>2.5510204081633514E-3</v>
      </c>
    </row>
    <row r="295" spans="1:3" x14ac:dyDescent="0.25">
      <c r="A295" s="3">
        <v>293</v>
      </c>
      <c r="B295" s="5">
        <f t="shared" si="8"/>
        <v>3.93</v>
      </c>
      <c r="C295" s="6">
        <f t="shared" si="9"/>
        <v>2.5445292620864812E-3</v>
      </c>
    </row>
    <row r="296" spans="1:3" x14ac:dyDescent="0.25">
      <c r="A296" s="3">
        <v>294</v>
      </c>
      <c r="B296" s="5">
        <f t="shared" si="8"/>
        <v>3.94</v>
      </c>
      <c r="C296" s="6">
        <f t="shared" si="9"/>
        <v>2.5380710659899108E-3</v>
      </c>
    </row>
    <row r="297" spans="1:3" x14ac:dyDescent="0.25">
      <c r="A297" s="3">
        <v>295</v>
      </c>
      <c r="B297" s="5">
        <f t="shared" si="8"/>
        <v>3.95</v>
      </c>
      <c r="C297" s="6">
        <f t="shared" si="9"/>
        <v>2.5316455696202667E-3</v>
      </c>
    </row>
    <row r="298" spans="1:3" x14ac:dyDescent="0.25">
      <c r="A298" s="3">
        <v>296</v>
      </c>
      <c r="B298" s="5">
        <f t="shared" si="8"/>
        <v>3.96</v>
      </c>
      <c r="C298" s="6">
        <f t="shared" si="9"/>
        <v>2.525252525252597E-3</v>
      </c>
    </row>
    <row r="299" spans="1:3" x14ac:dyDescent="0.25">
      <c r="A299" s="3">
        <v>297</v>
      </c>
      <c r="B299" s="5">
        <f t="shared" si="8"/>
        <v>3.97</v>
      </c>
      <c r="C299" s="6">
        <f t="shared" si="9"/>
        <v>2.5188916876572875E-3</v>
      </c>
    </row>
    <row r="300" spans="1:3" x14ac:dyDescent="0.25">
      <c r="A300" s="3">
        <v>298</v>
      </c>
      <c r="B300" s="5">
        <f t="shared" si="8"/>
        <v>3.98</v>
      </c>
      <c r="C300" s="6">
        <f t="shared" si="9"/>
        <v>2.5125628140703071E-3</v>
      </c>
    </row>
    <row r="301" spans="1:3" x14ac:dyDescent="0.25">
      <c r="A301" s="3">
        <v>299</v>
      </c>
      <c r="B301" s="5">
        <f t="shared" si="8"/>
        <v>3.99</v>
      </c>
      <c r="C301" s="6">
        <f t="shared" si="9"/>
        <v>2.5062656641603454E-3</v>
      </c>
    </row>
    <row r="302" spans="1:3" x14ac:dyDescent="0.25">
      <c r="A302" s="3">
        <v>300</v>
      </c>
      <c r="B302" s="5">
        <f t="shared" si="8"/>
        <v>4</v>
      </c>
      <c r="C302" s="6"/>
    </row>
  </sheetData>
  <mergeCells count="1">
    <mergeCell ref="E2:H5"/>
  </mergeCells>
  <phoneticPr fontId="2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02"/>
  <sheetViews>
    <sheetView zoomScale="90" workbookViewId="0">
      <pane ySplit="1" topLeftCell="A2" activePane="bottomLeft" state="frozen"/>
      <selection pane="bottomLeft" activeCell="C102" sqref="C102"/>
    </sheetView>
  </sheetViews>
  <sheetFormatPr defaultRowHeight="14" x14ac:dyDescent="0.25"/>
  <cols>
    <col min="1" max="2" width="14" customWidth="1"/>
    <col min="3" max="3" width="16" customWidth="1"/>
    <col min="5" max="8" width="18" customWidth="1"/>
  </cols>
  <sheetData>
    <row r="1" spans="1:8" ht="28" customHeight="1" x14ac:dyDescent="0.25">
      <c r="A1" s="1" t="s">
        <v>53</v>
      </c>
      <c r="B1" s="1" t="s">
        <v>50</v>
      </c>
      <c r="C1" s="1" t="s">
        <v>51</v>
      </c>
      <c r="E1" s="4" t="s">
        <v>31</v>
      </c>
    </row>
    <row r="2" spans="1:8" x14ac:dyDescent="0.25">
      <c r="A2" s="3">
        <v>0</v>
      </c>
      <c r="B2" s="5">
        <f t="shared" ref="B2:B65" si="0">1+A2/100</f>
        <v>1</v>
      </c>
      <c r="C2" s="6">
        <f t="shared" ref="C2:C65" si="1">B3/B2-1</f>
        <v>1.0000000000000009E-2</v>
      </c>
      <c r="E2" s="7" t="s">
        <v>54</v>
      </c>
      <c r="F2" s="8"/>
      <c r="G2" s="8"/>
      <c r="H2" s="8"/>
    </row>
    <row r="3" spans="1:8" x14ac:dyDescent="0.25">
      <c r="A3" s="3">
        <v>1</v>
      </c>
      <c r="B3" s="5">
        <f t="shared" si="0"/>
        <v>1.01</v>
      </c>
      <c r="C3" s="6">
        <f t="shared" si="1"/>
        <v>9.9009900990099098E-3</v>
      </c>
      <c r="E3" s="8"/>
      <c r="F3" s="8"/>
      <c r="G3" s="8"/>
      <c r="H3" s="8"/>
    </row>
    <row r="4" spans="1:8" x14ac:dyDescent="0.25">
      <c r="A4" s="3">
        <v>2</v>
      </c>
      <c r="B4" s="5">
        <f t="shared" si="0"/>
        <v>1.02</v>
      </c>
      <c r="C4" s="6">
        <f t="shared" si="1"/>
        <v>9.8039215686274161E-3</v>
      </c>
      <c r="E4" s="8"/>
      <c r="F4" s="8"/>
      <c r="G4" s="8"/>
      <c r="H4" s="8"/>
    </row>
    <row r="5" spans="1:8" x14ac:dyDescent="0.25">
      <c r="A5" s="3">
        <v>3</v>
      </c>
      <c r="B5" s="5">
        <f t="shared" si="0"/>
        <v>1.03</v>
      </c>
      <c r="C5" s="6">
        <f t="shared" si="1"/>
        <v>9.7087378640776656E-3</v>
      </c>
      <c r="E5" s="8"/>
      <c r="F5" s="8"/>
      <c r="G5" s="8"/>
      <c r="H5" s="8"/>
    </row>
    <row r="6" spans="1:8" x14ac:dyDescent="0.25">
      <c r="A6" s="3">
        <v>4</v>
      </c>
      <c r="B6" s="5">
        <f t="shared" si="0"/>
        <v>1.04</v>
      </c>
      <c r="C6" s="6">
        <f t="shared" si="1"/>
        <v>9.6153846153845812E-3</v>
      </c>
    </row>
    <row r="7" spans="1:8" x14ac:dyDescent="0.25">
      <c r="A7" s="3">
        <v>5</v>
      </c>
      <c r="B7" s="5">
        <f t="shared" si="0"/>
        <v>1.05</v>
      </c>
      <c r="C7" s="6">
        <f t="shared" si="1"/>
        <v>9.52380952380949E-3</v>
      </c>
    </row>
    <row r="8" spans="1:8" x14ac:dyDescent="0.25">
      <c r="A8" s="3">
        <v>6</v>
      </c>
      <c r="B8" s="5">
        <f t="shared" si="0"/>
        <v>1.06</v>
      </c>
      <c r="C8" s="6">
        <f t="shared" si="1"/>
        <v>9.4339622641510523E-3</v>
      </c>
    </row>
    <row r="9" spans="1:8" x14ac:dyDescent="0.25">
      <c r="A9" s="3">
        <v>7</v>
      </c>
      <c r="B9" s="5">
        <f t="shared" si="0"/>
        <v>1.07</v>
      </c>
      <c r="C9" s="6">
        <f t="shared" si="1"/>
        <v>9.3457943925234765E-3</v>
      </c>
    </row>
    <row r="10" spans="1:8" x14ac:dyDescent="0.25">
      <c r="A10" s="3">
        <v>8</v>
      </c>
      <c r="B10" s="5">
        <f t="shared" si="0"/>
        <v>1.08</v>
      </c>
      <c r="C10" s="6">
        <f t="shared" si="1"/>
        <v>9.2592592592593004E-3</v>
      </c>
    </row>
    <row r="11" spans="1:8" x14ac:dyDescent="0.25">
      <c r="A11" s="3">
        <v>9</v>
      </c>
      <c r="B11" s="5">
        <f t="shared" si="0"/>
        <v>1.0900000000000001</v>
      </c>
      <c r="C11" s="6">
        <f t="shared" si="1"/>
        <v>9.1743119266054496E-3</v>
      </c>
    </row>
    <row r="12" spans="1:8" x14ac:dyDescent="0.25">
      <c r="A12" s="3">
        <v>10</v>
      </c>
      <c r="B12" s="5">
        <f t="shared" si="0"/>
        <v>1.1000000000000001</v>
      </c>
      <c r="C12" s="6">
        <f t="shared" si="1"/>
        <v>9.0909090909090384E-3</v>
      </c>
    </row>
    <row r="13" spans="1:8" x14ac:dyDescent="0.25">
      <c r="A13" s="3">
        <v>11</v>
      </c>
      <c r="B13" s="5">
        <f t="shared" si="0"/>
        <v>1.1100000000000001</v>
      </c>
      <c r="C13" s="6">
        <f t="shared" si="1"/>
        <v>9.009009009008917E-3</v>
      </c>
    </row>
    <row r="14" spans="1:8" x14ac:dyDescent="0.25">
      <c r="A14" s="3">
        <v>12</v>
      </c>
      <c r="B14" s="5">
        <f t="shared" si="0"/>
        <v>1.1200000000000001</v>
      </c>
      <c r="C14" s="6">
        <f t="shared" si="1"/>
        <v>8.9285714285711748E-3</v>
      </c>
    </row>
    <row r="15" spans="1:8" x14ac:dyDescent="0.25">
      <c r="A15" s="3">
        <v>13</v>
      </c>
      <c r="B15" s="5">
        <f t="shared" si="0"/>
        <v>1.1299999999999999</v>
      </c>
      <c r="C15" s="6">
        <f t="shared" si="1"/>
        <v>8.8495575221241296E-3</v>
      </c>
    </row>
    <row r="16" spans="1:8" x14ac:dyDescent="0.25">
      <c r="A16" s="3">
        <v>14</v>
      </c>
      <c r="B16" s="5">
        <f t="shared" si="0"/>
        <v>1.1400000000000001</v>
      </c>
      <c r="C16" s="6">
        <f t="shared" si="1"/>
        <v>8.7719298245612087E-3</v>
      </c>
    </row>
    <row r="17" spans="1:3" x14ac:dyDescent="0.25">
      <c r="A17" s="3">
        <v>15</v>
      </c>
      <c r="B17" s="5">
        <f t="shared" si="0"/>
        <v>1.1499999999999999</v>
      </c>
      <c r="C17" s="6">
        <f t="shared" si="1"/>
        <v>8.6956521739129933E-3</v>
      </c>
    </row>
    <row r="18" spans="1:3" x14ac:dyDescent="0.25">
      <c r="A18" s="3">
        <v>16</v>
      </c>
      <c r="B18" s="5">
        <f t="shared" si="0"/>
        <v>1.1599999999999999</v>
      </c>
      <c r="C18" s="6">
        <f t="shared" si="1"/>
        <v>8.6206896551723755E-3</v>
      </c>
    </row>
    <row r="19" spans="1:3" x14ac:dyDescent="0.25">
      <c r="A19" s="3">
        <v>17</v>
      </c>
      <c r="B19" s="5">
        <f t="shared" si="0"/>
        <v>1.17</v>
      </c>
      <c r="C19" s="6">
        <f t="shared" si="1"/>
        <v>8.5470085470085166E-3</v>
      </c>
    </row>
    <row r="20" spans="1:3" x14ac:dyDescent="0.25">
      <c r="A20" s="3">
        <v>18</v>
      </c>
      <c r="B20" s="5">
        <f t="shared" si="0"/>
        <v>1.18</v>
      </c>
      <c r="C20" s="6">
        <f t="shared" si="1"/>
        <v>8.4745762711864181E-3</v>
      </c>
    </row>
    <row r="21" spans="1:3" x14ac:dyDescent="0.25">
      <c r="A21" s="3">
        <v>19</v>
      </c>
      <c r="B21" s="5">
        <f t="shared" si="0"/>
        <v>1.19</v>
      </c>
      <c r="C21" s="6">
        <f t="shared" si="1"/>
        <v>8.4033613445377853E-3</v>
      </c>
    </row>
    <row r="22" spans="1:3" x14ac:dyDescent="0.25">
      <c r="A22" s="3">
        <v>20</v>
      </c>
      <c r="B22" s="5">
        <f t="shared" si="0"/>
        <v>1.2</v>
      </c>
      <c r="C22" s="6">
        <f t="shared" si="1"/>
        <v>8.3333333333333037E-3</v>
      </c>
    </row>
    <row r="23" spans="1:3" x14ac:dyDescent="0.25">
      <c r="A23" s="3">
        <v>21</v>
      </c>
      <c r="B23" s="5">
        <f t="shared" si="0"/>
        <v>1.21</v>
      </c>
      <c r="C23" s="6">
        <f t="shared" si="1"/>
        <v>8.2644628099173278E-3</v>
      </c>
    </row>
    <row r="24" spans="1:3" x14ac:dyDescent="0.25">
      <c r="A24" s="3">
        <v>22</v>
      </c>
      <c r="B24" s="5">
        <f t="shared" si="0"/>
        <v>1.22</v>
      </c>
      <c r="C24" s="6">
        <f t="shared" si="1"/>
        <v>8.1967213114753079E-3</v>
      </c>
    </row>
    <row r="25" spans="1:3" x14ac:dyDescent="0.25">
      <c r="A25" s="3">
        <v>23</v>
      </c>
      <c r="B25" s="5">
        <f t="shared" si="0"/>
        <v>1.23</v>
      </c>
      <c r="C25" s="6">
        <f t="shared" si="1"/>
        <v>8.1300813008129413E-3</v>
      </c>
    </row>
    <row r="26" spans="1:3" x14ac:dyDescent="0.25">
      <c r="A26" s="3">
        <v>24</v>
      </c>
      <c r="B26" s="5">
        <f t="shared" si="0"/>
        <v>1.24</v>
      </c>
      <c r="C26" s="6">
        <f t="shared" si="1"/>
        <v>8.0645161290322509E-3</v>
      </c>
    </row>
    <row r="27" spans="1:3" x14ac:dyDescent="0.25">
      <c r="A27" s="3">
        <v>25</v>
      </c>
      <c r="B27" s="5">
        <f t="shared" si="0"/>
        <v>1.25</v>
      </c>
      <c r="C27" s="6">
        <f t="shared" si="1"/>
        <v>8.0000000000000071E-3</v>
      </c>
    </row>
    <row r="28" spans="1:3" x14ac:dyDescent="0.25">
      <c r="A28" s="3">
        <v>26</v>
      </c>
      <c r="B28" s="5">
        <f t="shared" si="0"/>
        <v>1.26</v>
      </c>
      <c r="C28" s="6">
        <f t="shared" si="1"/>
        <v>7.9365079365079083E-3</v>
      </c>
    </row>
    <row r="29" spans="1:3" x14ac:dyDescent="0.25">
      <c r="A29" s="3">
        <v>27</v>
      </c>
      <c r="B29" s="5">
        <f t="shared" si="0"/>
        <v>1.27</v>
      </c>
      <c r="C29" s="6">
        <f t="shared" si="1"/>
        <v>7.8740157480314821E-3</v>
      </c>
    </row>
    <row r="30" spans="1:3" x14ac:dyDescent="0.25">
      <c r="A30" s="3">
        <v>28</v>
      </c>
      <c r="B30" s="5">
        <f t="shared" si="0"/>
        <v>1.28</v>
      </c>
      <c r="C30" s="6">
        <f t="shared" si="1"/>
        <v>7.8125E-3</v>
      </c>
    </row>
    <row r="31" spans="1:3" x14ac:dyDescent="0.25">
      <c r="A31" s="3">
        <v>29</v>
      </c>
      <c r="B31" s="5">
        <f t="shared" si="0"/>
        <v>1.29</v>
      </c>
      <c r="C31" s="6">
        <f t="shared" si="1"/>
        <v>7.7519379844961378E-3</v>
      </c>
    </row>
    <row r="32" spans="1:3" x14ac:dyDescent="0.25">
      <c r="A32" s="3">
        <v>30</v>
      </c>
      <c r="B32" s="5">
        <f t="shared" si="0"/>
        <v>1.3</v>
      </c>
      <c r="C32" s="6">
        <f t="shared" si="1"/>
        <v>7.692307692307665E-3</v>
      </c>
    </row>
    <row r="33" spans="1:3" x14ac:dyDescent="0.25">
      <c r="A33" s="3">
        <v>31</v>
      </c>
      <c r="B33" s="5">
        <f t="shared" si="0"/>
        <v>1.31</v>
      </c>
      <c r="C33" s="6">
        <f t="shared" si="1"/>
        <v>7.6335877862594437E-3</v>
      </c>
    </row>
    <row r="34" spans="1:3" x14ac:dyDescent="0.25">
      <c r="A34" s="3">
        <v>32</v>
      </c>
      <c r="B34" s="5">
        <f t="shared" si="0"/>
        <v>1.32</v>
      </c>
      <c r="C34" s="6">
        <f t="shared" si="1"/>
        <v>7.575757575757569E-3</v>
      </c>
    </row>
    <row r="35" spans="1:3" x14ac:dyDescent="0.25">
      <c r="A35" s="3">
        <v>33</v>
      </c>
      <c r="B35" s="5">
        <f t="shared" si="0"/>
        <v>1.33</v>
      </c>
      <c r="C35" s="6">
        <f t="shared" si="1"/>
        <v>7.5187969924812581E-3</v>
      </c>
    </row>
    <row r="36" spans="1:3" x14ac:dyDescent="0.25">
      <c r="A36" s="3">
        <v>34</v>
      </c>
      <c r="B36" s="5">
        <f t="shared" si="0"/>
        <v>1.34</v>
      </c>
      <c r="C36" s="6">
        <f t="shared" si="1"/>
        <v>7.4626865671640896E-3</v>
      </c>
    </row>
    <row r="37" spans="1:3" x14ac:dyDescent="0.25">
      <c r="A37" s="3">
        <v>35</v>
      </c>
      <c r="B37" s="5">
        <f t="shared" si="0"/>
        <v>1.35</v>
      </c>
      <c r="C37" s="6">
        <f t="shared" si="1"/>
        <v>7.4074074074073071E-3</v>
      </c>
    </row>
    <row r="38" spans="1:3" x14ac:dyDescent="0.25">
      <c r="A38" s="3">
        <v>36</v>
      </c>
      <c r="B38" s="5">
        <f t="shared" si="0"/>
        <v>1.3599999999999999</v>
      </c>
      <c r="C38" s="6">
        <f t="shared" si="1"/>
        <v>7.3529411764707842E-3</v>
      </c>
    </row>
    <row r="39" spans="1:3" x14ac:dyDescent="0.25">
      <c r="A39" s="3">
        <v>37</v>
      </c>
      <c r="B39" s="5">
        <f t="shared" si="0"/>
        <v>1.37</v>
      </c>
      <c r="C39" s="6">
        <f t="shared" si="1"/>
        <v>7.2992700729925808E-3</v>
      </c>
    </row>
    <row r="40" spans="1:3" x14ac:dyDescent="0.25">
      <c r="A40" s="3">
        <v>38</v>
      </c>
      <c r="B40" s="5">
        <f t="shared" si="0"/>
        <v>1.38</v>
      </c>
      <c r="C40" s="6">
        <f t="shared" si="1"/>
        <v>7.2463768115944571E-3</v>
      </c>
    </row>
    <row r="41" spans="1:3" x14ac:dyDescent="0.25">
      <c r="A41" s="3">
        <v>39</v>
      </c>
      <c r="B41" s="5">
        <f t="shared" si="0"/>
        <v>1.3900000000000001</v>
      </c>
      <c r="C41" s="6">
        <f t="shared" si="1"/>
        <v>7.194244604316502E-3</v>
      </c>
    </row>
    <row r="42" spans="1:3" x14ac:dyDescent="0.25">
      <c r="A42" s="3">
        <v>40</v>
      </c>
      <c r="B42" s="5">
        <f t="shared" si="0"/>
        <v>1.4</v>
      </c>
      <c r="C42" s="6">
        <f t="shared" si="1"/>
        <v>7.1428571428571175E-3</v>
      </c>
    </row>
    <row r="43" spans="1:3" x14ac:dyDescent="0.25">
      <c r="A43" s="3">
        <v>41</v>
      </c>
      <c r="B43" s="5">
        <f t="shared" si="0"/>
        <v>1.41</v>
      </c>
      <c r="C43" s="6">
        <f t="shared" si="1"/>
        <v>7.0921985815601829E-3</v>
      </c>
    </row>
    <row r="44" spans="1:3" x14ac:dyDescent="0.25">
      <c r="A44" s="3">
        <v>42</v>
      </c>
      <c r="B44" s="5">
        <f t="shared" si="0"/>
        <v>1.42</v>
      </c>
      <c r="C44" s="6">
        <f t="shared" si="1"/>
        <v>7.0422535211267512E-3</v>
      </c>
    </row>
    <row r="45" spans="1:3" x14ac:dyDescent="0.25">
      <c r="A45" s="3">
        <v>43</v>
      </c>
      <c r="B45" s="5">
        <f t="shared" si="0"/>
        <v>1.43</v>
      </c>
      <c r="C45" s="6">
        <f t="shared" si="1"/>
        <v>6.9930069930070893E-3</v>
      </c>
    </row>
    <row r="46" spans="1:3" x14ac:dyDescent="0.25">
      <c r="A46" s="3">
        <v>44</v>
      </c>
      <c r="B46" s="5">
        <f t="shared" si="0"/>
        <v>1.44</v>
      </c>
      <c r="C46" s="6">
        <f t="shared" si="1"/>
        <v>6.9444444444444198E-3</v>
      </c>
    </row>
    <row r="47" spans="1:3" x14ac:dyDescent="0.25">
      <c r="A47" s="3">
        <v>45</v>
      </c>
      <c r="B47" s="5">
        <f t="shared" si="0"/>
        <v>1.45</v>
      </c>
      <c r="C47" s="6">
        <f t="shared" si="1"/>
        <v>6.8965517241379448E-3</v>
      </c>
    </row>
    <row r="48" spans="1:3" x14ac:dyDescent="0.25">
      <c r="A48" s="3">
        <v>46</v>
      </c>
      <c r="B48" s="5">
        <f t="shared" si="0"/>
        <v>1.46</v>
      </c>
      <c r="C48" s="6">
        <f t="shared" si="1"/>
        <v>6.8493150684931781E-3</v>
      </c>
    </row>
    <row r="49" spans="1:3" x14ac:dyDescent="0.25">
      <c r="A49" s="3">
        <v>47</v>
      </c>
      <c r="B49" s="5">
        <f t="shared" si="0"/>
        <v>1.47</v>
      </c>
      <c r="C49" s="6">
        <f t="shared" si="1"/>
        <v>6.8027210884353817E-3</v>
      </c>
    </row>
    <row r="50" spans="1:3" x14ac:dyDescent="0.25">
      <c r="A50" s="3">
        <v>48</v>
      </c>
      <c r="B50" s="5">
        <f t="shared" si="0"/>
        <v>1.48</v>
      </c>
      <c r="C50" s="6">
        <f t="shared" si="1"/>
        <v>6.7567567567567988E-3</v>
      </c>
    </row>
    <row r="51" spans="1:3" x14ac:dyDescent="0.25">
      <c r="A51" s="3">
        <v>49</v>
      </c>
      <c r="B51" s="5">
        <f t="shared" si="0"/>
        <v>1.49</v>
      </c>
      <c r="C51" s="6">
        <f t="shared" si="1"/>
        <v>6.7114093959732557E-3</v>
      </c>
    </row>
    <row r="52" spans="1:3" x14ac:dyDescent="0.25">
      <c r="A52" s="3">
        <v>50</v>
      </c>
      <c r="B52" s="5">
        <f t="shared" si="0"/>
        <v>1.5</v>
      </c>
      <c r="C52" s="6">
        <f t="shared" si="1"/>
        <v>6.6666666666665986E-3</v>
      </c>
    </row>
    <row r="53" spans="1:3" x14ac:dyDescent="0.25">
      <c r="A53" s="3">
        <v>51</v>
      </c>
      <c r="B53" s="5">
        <f t="shared" si="0"/>
        <v>1.51</v>
      </c>
      <c r="C53" s="6">
        <f t="shared" si="1"/>
        <v>6.6225165562914245E-3</v>
      </c>
    </row>
    <row r="54" spans="1:3" x14ac:dyDescent="0.25">
      <c r="A54" s="3">
        <v>52</v>
      </c>
      <c r="B54" s="5">
        <f t="shared" si="0"/>
        <v>1.52</v>
      </c>
      <c r="C54" s="6">
        <f t="shared" si="1"/>
        <v>6.5789473684210176E-3</v>
      </c>
    </row>
    <row r="55" spans="1:3" x14ac:dyDescent="0.25">
      <c r="A55" s="3">
        <v>53</v>
      </c>
      <c r="B55" s="5">
        <f t="shared" si="0"/>
        <v>1.53</v>
      </c>
      <c r="C55" s="6">
        <f t="shared" si="1"/>
        <v>6.5359477124182774E-3</v>
      </c>
    </row>
    <row r="56" spans="1:3" x14ac:dyDescent="0.25">
      <c r="A56" s="3">
        <v>54</v>
      </c>
      <c r="B56" s="5">
        <f t="shared" si="0"/>
        <v>1.54</v>
      </c>
      <c r="C56" s="6">
        <f t="shared" si="1"/>
        <v>6.4935064935065512E-3</v>
      </c>
    </row>
    <row r="57" spans="1:3" x14ac:dyDescent="0.25">
      <c r="A57" s="3">
        <v>55</v>
      </c>
      <c r="B57" s="5">
        <f t="shared" si="0"/>
        <v>1.55</v>
      </c>
      <c r="C57" s="6">
        <f t="shared" si="1"/>
        <v>6.4516129032257119E-3</v>
      </c>
    </row>
    <row r="58" spans="1:3" x14ac:dyDescent="0.25">
      <c r="A58" s="3">
        <v>56</v>
      </c>
      <c r="B58" s="5">
        <f t="shared" si="0"/>
        <v>1.56</v>
      </c>
      <c r="C58" s="6">
        <f t="shared" si="1"/>
        <v>6.4102564102561654E-3</v>
      </c>
    </row>
    <row r="59" spans="1:3" x14ac:dyDescent="0.25">
      <c r="A59" s="3">
        <v>57</v>
      </c>
      <c r="B59" s="5">
        <f t="shared" si="0"/>
        <v>1.5699999999999998</v>
      </c>
      <c r="C59" s="6">
        <f t="shared" si="1"/>
        <v>6.3694267515925773E-3</v>
      </c>
    </row>
    <row r="60" spans="1:3" x14ac:dyDescent="0.25">
      <c r="A60" s="3">
        <v>58</v>
      </c>
      <c r="B60" s="5">
        <f t="shared" si="0"/>
        <v>1.58</v>
      </c>
      <c r="C60" s="6">
        <f t="shared" si="1"/>
        <v>6.3291139240504446E-3</v>
      </c>
    </row>
    <row r="61" spans="1:3" x14ac:dyDescent="0.25">
      <c r="A61" s="3">
        <v>59</v>
      </c>
      <c r="B61" s="5">
        <f t="shared" si="0"/>
        <v>1.5899999999999999</v>
      </c>
      <c r="C61" s="6">
        <f t="shared" si="1"/>
        <v>6.2893081761008496E-3</v>
      </c>
    </row>
    <row r="62" spans="1:3" x14ac:dyDescent="0.25">
      <c r="A62" s="3">
        <v>60</v>
      </c>
      <c r="B62" s="5">
        <f t="shared" si="0"/>
        <v>1.6</v>
      </c>
      <c r="C62" s="6">
        <f t="shared" si="1"/>
        <v>6.2499999999998668E-3</v>
      </c>
    </row>
    <row r="63" spans="1:3" x14ac:dyDescent="0.25">
      <c r="A63" s="3">
        <v>61</v>
      </c>
      <c r="B63" s="5">
        <f t="shared" si="0"/>
        <v>1.6099999999999999</v>
      </c>
      <c r="C63" s="6">
        <f t="shared" si="1"/>
        <v>6.2111801242237252E-3</v>
      </c>
    </row>
    <row r="64" spans="1:3" x14ac:dyDescent="0.25">
      <c r="A64" s="3">
        <v>62</v>
      </c>
      <c r="B64" s="5">
        <f t="shared" si="0"/>
        <v>1.62</v>
      </c>
      <c r="C64" s="6">
        <f t="shared" si="1"/>
        <v>6.1728395061726449E-3</v>
      </c>
    </row>
    <row r="65" spans="1:3" x14ac:dyDescent="0.25">
      <c r="A65" s="3">
        <v>63</v>
      </c>
      <c r="B65" s="5">
        <f t="shared" si="0"/>
        <v>1.63</v>
      </c>
      <c r="C65" s="6">
        <f t="shared" si="1"/>
        <v>6.1349693251535609E-3</v>
      </c>
    </row>
    <row r="66" spans="1:3" x14ac:dyDescent="0.25">
      <c r="A66" s="3">
        <v>64</v>
      </c>
      <c r="B66" s="5">
        <f t="shared" ref="B66:B129" si="2">1+A66/100</f>
        <v>1.6400000000000001</v>
      </c>
      <c r="C66" s="6">
        <f t="shared" ref="C66:C129" si="3">B67/B66-1</f>
        <v>6.0975609756095395E-3</v>
      </c>
    </row>
    <row r="67" spans="1:3" x14ac:dyDescent="0.25">
      <c r="A67" s="3">
        <v>65</v>
      </c>
      <c r="B67" s="5">
        <f t="shared" si="2"/>
        <v>1.65</v>
      </c>
      <c r="C67" s="6">
        <f t="shared" si="3"/>
        <v>6.0606060606060996E-3</v>
      </c>
    </row>
    <row r="68" spans="1:3" x14ac:dyDescent="0.25">
      <c r="A68" s="3">
        <v>66</v>
      </c>
      <c r="B68" s="5">
        <f t="shared" si="2"/>
        <v>1.6600000000000001</v>
      </c>
      <c r="C68" s="6">
        <f t="shared" si="3"/>
        <v>6.0240963855420215E-3</v>
      </c>
    </row>
    <row r="69" spans="1:3" x14ac:dyDescent="0.25">
      <c r="A69" s="3">
        <v>67</v>
      </c>
      <c r="B69" s="5">
        <f t="shared" si="2"/>
        <v>1.67</v>
      </c>
      <c r="C69" s="6">
        <f t="shared" si="3"/>
        <v>5.9880239520959666E-3</v>
      </c>
    </row>
    <row r="70" spans="1:3" x14ac:dyDescent="0.25">
      <c r="A70" s="3">
        <v>68</v>
      </c>
      <c r="B70" s="5">
        <f t="shared" si="2"/>
        <v>1.6800000000000002</v>
      </c>
      <c r="C70" s="6">
        <f t="shared" si="3"/>
        <v>5.9523809523809312E-3</v>
      </c>
    </row>
    <row r="71" spans="1:3" x14ac:dyDescent="0.25">
      <c r="A71" s="3">
        <v>69</v>
      </c>
      <c r="B71" s="5">
        <f t="shared" si="2"/>
        <v>1.69</v>
      </c>
      <c r="C71" s="6">
        <f t="shared" si="3"/>
        <v>5.9171597633136397E-3</v>
      </c>
    </row>
    <row r="72" spans="1:3" x14ac:dyDescent="0.25">
      <c r="A72" s="3">
        <v>70</v>
      </c>
      <c r="B72" s="5">
        <f t="shared" si="2"/>
        <v>1.7</v>
      </c>
      <c r="C72" s="6">
        <f t="shared" si="3"/>
        <v>5.8823529411764497E-3</v>
      </c>
    </row>
    <row r="73" spans="1:3" x14ac:dyDescent="0.25">
      <c r="A73" s="3">
        <v>71</v>
      </c>
      <c r="B73" s="5">
        <f t="shared" si="2"/>
        <v>1.71</v>
      </c>
      <c r="C73" s="6">
        <f t="shared" si="3"/>
        <v>5.8479532163742132E-3</v>
      </c>
    </row>
    <row r="74" spans="1:3" x14ac:dyDescent="0.25">
      <c r="A74" s="3">
        <v>72</v>
      </c>
      <c r="B74" s="5">
        <f t="shared" si="2"/>
        <v>1.72</v>
      </c>
      <c r="C74" s="6">
        <f t="shared" si="3"/>
        <v>5.8139534883721034E-3</v>
      </c>
    </row>
    <row r="75" spans="1:3" x14ac:dyDescent="0.25">
      <c r="A75" s="3">
        <v>73</v>
      </c>
      <c r="B75" s="5">
        <f t="shared" si="2"/>
        <v>1.73</v>
      </c>
      <c r="C75" s="6">
        <f t="shared" si="3"/>
        <v>5.7803468208093012E-3</v>
      </c>
    </row>
    <row r="76" spans="1:3" x14ac:dyDescent="0.25">
      <c r="A76" s="3">
        <v>74</v>
      </c>
      <c r="B76" s="5">
        <f t="shared" si="2"/>
        <v>1.74</v>
      </c>
      <c r="C76" s="6">
        <f t="shared" si="3"/>
        <v>5.7471264367816577E-3</v>
      </c>
    </row>
    <row r="77" spans="1:3" x14ac:dyDescent="0.25">
      <c r="A77" s="3">
        <v>75</v>
      </c>
      <c r="B77" s="5">
        <f t="shared" si="2"/>
        <v>1.75</v>
      </c>
      <c r="C77" s="6">
        <f t="shared" si="3"/>
        <v>5.7142857142857828E-3</v>
      </c>
    </row>
    <row r="78" spans="1:3" x14ac:dyDescent="0.25">
      <c r="A78" s="3">
        <v>76</v>
      </c>
      <c r="B78" s="5">
        <f t="shared" si="2"/>
        <v>1.76</v>
      </c>
      <c r="C78" s="6">
        <f t="shared" si="3"/>
        <v>5.6818181818181213E-3</v>
      </c>
    </row>
    <row r="79" spans="1:3" x14ac:dyDescent="0.25">
      <c r="A79" s="3">
        <v>77</v>
      </c>
      <c r="B79" s="5">
        <f t="shared" si="2"/>
        <v>1.77</v>
      </c>
      <c r="C79" s="6">
        <f t="shared" si="3"/>
        <v>5.6497175141243527E-3</v>
      </c>
    </row>
    <row r="80" spans="1:3" x14ac:dyDescent="0.25">
      <c r="A80" s="3">
        <v>78</v>
      </c>
      <c r="B80" s="5">
        <f t="shared" si="2"/>
        <v>1.78</v>
      </c>
      <c r="C80" s="6">
        <f t="shared" si="3"/>
        <v>5.6179775280897903E-3</v>
      </c>
    </row>
    <row r="81" spans="1:3" x14ac:dyDescent="0.25">
      <c r="A81" s="3">
        <v>79</v>
      </c>
      <c r="B81" s="5">
        <f t="shared" si="2"/>
        <v>1.79</v>
      </c>
      <c r="C81" s="6">
        <f t="shared" si="3"/>
        <v>5.5865921787709993E-3</v>
      </c>
    </row>
    <row r="82" spans="1:3" x14ac:dyDescent="0.25">
      <c r="A82" s="3">
        <v>80</v>
      </c>
      <c r="B82" s="5">
        <f t="shared" si="2"/>
        <v>1.8</v>
      </c>
      <c r="C82" s="6">
        <f t="shared" si="3"/>
        <v>5.5555555555555358E-3</v>
      </c>
    </row>
    <row r="83" spans="1:3" x14ac:dyDescent="0.25">
      <c r="A83" s="3">
        <v>81</v>
      </c>
      <c r="B83" s="5">
        <f t="shared" si="2"/>
        <v>1.81</v>
      </c>
      <c r="C83" s="6">
        <f t="shared" si="3"/>
        <v>5.5248618784529135E-3</v>
      </c>
    </row>
    <row r="84" spans="1:3" x14ac:dyDescent="0.25">
      <c r="A84" s="3">
        <v>82</v>
      </c>
      <c r="B84" s="5">
        <f t="shared" si="2"/>
        <v>1.8199999999999998</v>
      </c>
      <c r="C84" s="6">
        <f t="shared" si="3"/>
        <v>5.494505494505697E-3</v>
      </c>
    </row>
    <row r="85" spans="1:3" x14ac:dyDescent="0.25">
      <c r="A85" s="3">
        <v>83</v>
      </c>
      <c r="B85" s="5">
        <f t="shared" si="2"/>
        <v>1.83</v>
      </c>
      <c r="C85" s="6">
        <f t="shared" si="3"/>
        <v>5.4644808743167239E-3</v>
      </c>
    </row>
    <row r="86" spans="1:3" x14ac:dyDescent="0.25">
      <c r="A86" s="3">
        <v>84</v>
      </c>
      <c r="B86" s="5">
        <f t="shared" si="2"/>
        <v>1.8399999999999999</v>
      </c>
      <c r="C86" s="6">
        <f t="shared" si="3"/>
        <v>5.4347826086957873E-3</v>
      </c>
    </row>
    <row r="87" spans="1:3" x14ac:dyDescent="0.25">
      <c r="A87" s="3">
        <v>85</v>
      </c>
      <c r="B87" s="5">
        <f t="shared" si="2"/>
        <v>1.85</v>
      </c>
      <c r="C87" s="6">
        <f t="shared" si="3"/>
        <v>5.4054054054053502E-3</v>
      </c>
    </row>
    <row r="88" spans="1:3" x14ac:dyDescent="0.25">
      <c r="A88" s="3">
        <v>86</v>
      </c>
      <c r="B88" s="5">
        <f t="shared" si="2"/>
        <v>1.8599999999999999</v>
      </c>
      <c r="C88" s="6">
        <f t="shared" si="3"/>
        <v>5.3763440860217226E-3</v>
      </c>
    </row>
    <row r="89" spans="1:3" x14ac:dyDescent="0.25">
      <c r="A89" s="3">
        <v>87</v>
      </c>
      <c r="B89" s="5">
        <f t="shared" si="2"/>
        <v>1.87</v>
      </c>
      <c r="C89" s="6">
        <f t="shared" si="3"/>
        <v>5.3475935828874999E-3</v>
      </c>
    </row>
    <row r="90" spans="1:3" x14ac:dyDescent="0.25">
      <c r="A90" s="3">
        <v>88</v>
      </c>
      <c r="B90" s="5">
        <f t="shared" si="2"/>
        <v>1.88</v>
      </c>
      <c r="C90" s="6">
        <f t="shared" si="3"/>
        <v>5.3191489361703592E-3</v>
      </c>
    </row>
    <row r="91" spans="1:3" x14ac:dyDescent="0.25">
      <c r="A91" s="3">
        <v>89</v>
      </c>
      <c r="B91" s="5">
        <f t="shared" si="2"/>
        <v>1.8900000000000001</v>
      </c>
      <c r="C91" s="6">
        <f t="shared" si="3"/>
        <v>5.2910052910051242E-3</v>
      </c>
    </row>
    <row r="92" spans="1:3" x14ac:dyDescent="0.25">
      <c r="A92" s="3">
        <v>90</v>
      </c>
      <c r="B92" s="5">
        <f t="shared" si="2"/>
        <v>1.9</v>
      </c>
      <c r="C92" s="6">
        <f t="shared" si="3"/>
        <v>5.2631578947368585E-3</v>
      </c>
    </row>
    <row r="93" spans="1:3" x14ac:dyDescent="0.25">
      <c r="A93" s="3">
        <v>91</v>
      </c>
      <c r="B93" s="5">
        <f t="shared" si="2"/>
        <v>1.9100000000000001</v>
      </c>
      <c r="C93" s="6">
        <f t="shared" si="3"/>
        <v>5.2356020942407877E-3</v>
      </c>
    </row>
    <row r="94" spans="1:3" x14ac:dyDescent="0.25">
      <c r="A94" s="3">
        <v>92</v>
      </c>
      <c r="B94" s="5">
        <f t="shared" si="2"/>
        <v>1.92</v>
      </c>
      <c r="C94" s="6">
        <f t="shared" si="3"/>
        <v>5.2083333333334814E-3</v>
      </c>
    </row>
    <row r="95" spans="1:3" x14ac:dyDescent="0.25">
      <c r="A95" s="3">
        <v>93</v>
      </c>
      <c r="B95" s="5">
        <f t="shared" si="2"/>
        <v>1.9300000000000002</v>
      </c>
      <c r="C95" s="6">
        <f t="shared" si="3"/>
        <v>5.1813471502588637E-3</v>
      </c>
    </row>
    <row r="96" spans="1:3" x14ac:dyDescent="0.25">
      <c r="A96" s="3">
        <v>94</v>
      </c>
      <c r="B96" s="5">
        <f t="shared" si="2"/>
        <v>1.94</v>
      </c>
      <c r="C96" s="6">
        <f t="shared" si="3"/>
        <v>5.1546391752577136E-3</v>
      </c>
    </row>
    <row r="97" spans="1:3" x14ac:dyDescent="0.25">
      <c r="A97" s="3">
        <v>95</v>
      </c>
      <c r="B97" s="5">
        <f t="shared" si="2"/>
        <v>1.95</v>
      </c>
      <c r="C97" s="6">
        <f t="shared" si="3"/>
        <v>5.12820512820511E-3</v>
      </c>
    </row>
    <row r="98" spans="1:3" x14ac:dyDescent="0.25">
      <c r="A98" s="3">
        <v>96</v>
      </c>
      <c r="B98" s="5">
        <f t="shared" si="2"/>
        <v>1.96</v>
      </c>
      <c r="C98" s="6">
        <f t="shared" si="3"/>
        <v>5.1020408163264808E-3</v>
      </c>
    </row>
    <row r="99" spans="1:3" x14ac:dyDescent="0.25">
      <c r="A99" s="3">
        <v>97</v>
      </c>
      <c r="B99" s="5">
        <f t="shared" si="2"/>
        <v>1.97</v>
      </c>
      <c r="C99" s="6">
        <f t="shared" si="3"/>
        <v>5.0761421319795996E-3</v>
      </c>
    </row>
    <row r="100" spans="1:3" x14ac:dyDescent="0.25">
      <c r="A100" s="3">
        <v>98</v>
      </c>
      <c r="B100" s="5">
        <f t="shared" si="2"/>
        <v>1.98</v>
      </c>
      <c r="C100" s="6">
        <f t="shared" si="3"/>
        <v>5.050505050504972E-3</v>
      </c>
    </row>
    <row r="101" spans="1:3" x14ac:dyDescent="0.25">
      <c r="A101" s="3">
        <v>99</v>
      </c>
      <c r="B101" s="5">
        <f t="shared" si="2"/>
        <v>1.99</v>
      </c>
      <c r="C101" s="6">
        <f t="shared" si="3"/>
        <v>5.0251256281406143E-3</v>
      </c>
    </row>
    <row r="102" spans="1:3" x14ac:dyDescent="0.25">
      <c r="A102" s="3">
        <v>100</v>
      </c>
      <c r="B102" s="5">
        <f t="shared" si="2"/>
        <v>2</v>
      </c>
      <c r="C102" s="6">
        <f t="shared" si="3"/>
        <v>4.9999999999998934E-3</v>
      </c>
    </row>
    <row r="103" spans="1:3" x14ac:dyDescent="0.25">
      <c r="A103" s="3">
        <v>101</v>
      </c>
      <c r="B103" s="5">
        <f t="shared" si="2"/>
        <v>2.0099999999999998</v>
      </c>
      <c r="C103" s="6">
        <f t="shared" si="3"/>
        <v>4.9751243781095411E-3</v>
      </c>
    </row>
    <row r="104" spans="1:3" x14ac:dyDescent="0.25">
      <c r="A104" s="3">
        <v>102</v>
      </c>
      <c r="B104" s="5">
        <f t="shared" si="2"/>
        <v>2.02</v>
      </c>
      <c r="C104" s="6">
        <f t="shared" si="3"/>
        <v>4.9504950495049549E-3</v>
      </c>
    </row>
    <row r="105" spans="1:3" x14ac:dyDescent="0.25">
      <c r="A105" s="3">
        <v>103</v>
      </c>
      <c r="B105" s="5">
        <f t="shared" si="2"/>
        <v>2.0300000000000002</v>
      </c>
      <c r="C105" s="6">
        <f t="shared" si="3"/>
        <v>4.9261083743841194E-3</v>
      </c>
    </row>
    <row r="106" spans="1:3" x14ac:dyDescent="0.25">
      <c r="A106" s="3">
        <v>104</v>
      </c>
      <c r="B106" s="5">
        <f t="shared" si="2"/>
        <v>2.04</v>
      </c>
      <c r="C106" s="6">
        <f t="shared" si="3"/>
        <v>4.9019607843137081E-3</v>
      </c>
    </row>
    <row r="107" spans="1:3" x14ac:dyDescent="0.25">
      <c r="A107" s="3">
        <v>105</v>
      </c>
      <c r="B107" s="5">
        <f t="shared" si="2"/>
        <v>2.0499999999999998</v>
      </c>
      <c r="C107" s="6">
        <f t="shared" si="3"/>
        <v>4.8780487804878092E-3</v>
      </c>
    </row>
    <row r="108" spans="1:3" x14ac:dyDescent="0.25">
      <c r="A108" s="3">
        <v>106</v>
      </c>
      <c r="B108" s="5">
        <f t="shared" si="2"/>
        <v>2.06</v>
      </c>
      <c r="C108" s="6">
        <f t="shared" si="3"/>
        <v>4.8543689320390548E-3</v>
      </c>
    </row>
    <row r="109" spans="1:3" x14ac:dyDescent="0.25">
      <c r="A109" s="3">
        <v>107</v>
      </c>
      <c r="B109" s="5">
        <f t="shared" si="2"/>
        <v>2.0700000000000003</v>
      </c>
      <c r="C109" s="6">
        <f t="shared" si="3"/>
        <v>4.8309178743959347E-3</v>
      </c>
    </row>
    <row r="110" spans="1:3" x14ac:dyDescent="0.25">
      <c r="A110" s="3">
        <v>108</v>
      </c>
      <c r="B110" s="5">
        <f t="shared" si="2"/>
        <v>2.08</v>
      </c>
      <c r="C110" s="6">
        <f t="shared" si="3"/>
        <v>4.8076923076922906E-3</v>
      </c>
    </row>
    <row r="111" spans="1:3" x14ac:dyDescent="0.25">
      <c r="A111" s="3">
        <v>109</v>
      </c>
      <c r="B111" s="5">
        <f t="shared" si="2"/>
        <v>2.09</v>
      </c>
      <c r="C111" s="6">
        <f t="shared" si="3"/>
        <v>4.784688995215447E-3</v>
      </c>
    </row>
    <row r="112" spans="1:3" x14ac:dyDescent="0.25">
      <c r="A112" s="3">
        <v>110</v>
      </c>
      <c r="B112" s="5">
        <f t="shared" si="2"/>
        <v>2.1</v>
      </c>
      <c r="C112" s="6">
        <f t="shared" si="3"/>
        <v>4.761904761904967E-3</v>
      </c>
    </row>
    <row r="113" spans="1:3" x14ac:dyDescent="0.25">
      <c r="A113" s="3">
        <v>111</v>
      </c>
      <c r="B113" s="5">
        <f t="shared" si="2"/>
        <v>2.1100000000000003</v>
      </c>
      <c r="C113" s="6">
        <f t="shared" si="3"/>
        <v>4.7393364928909332E-3</v>
      </c>
    </row>
    <row r="114" spans="1:3" x14ac:dyDescent="0.25">
      <c r="A114" s="3">
        <v>112</v>
      </c>
      <c r="B114" s="5">
        <f t="shared" si="2"/>
        <v>2.12</v>
      </c>
      <c r="C114" s="6">
        <f t="shared" si="3"/>
        <v>4.7169811320753041E-3</v>
      </c>
    </row>
    <row r="115" spans="1:3" x14ac:dyDescent="0.25">
      <c r="A115" s="3">
        <v>113</v>
      </c>
      <c r="B115" s="5">
        <f t="shared" si="2"/>
        <v>2.13</v>
      </c>
      <c r="C115" s="6">
        <f t="shared" si="3"/>
        <v>4.6948356807510194E-3</v>
      </c>
    </row>
    <row r="116" spans="1:3" x14ac:dyDescent="0.25">
      <c r="A116" s="3">
        <v>114</v>
      </c>
      <c r="B116" s="5">
        <f t="shared" si="2"/>
        <v>2.1399999999999997</v>
      </c>
      <c r="C116" s="6">
        <f t="shared" si="3"/>
        <v>4.6728971962617383E-3</v>
      </c>
    </row>
    <row r="117" spans="1:3" x14ac:dyDescent="0.25">
      <c r="A117" s="3">
        <v>115</v>
      </c>
      <c r="B117" s="5">
        <f t="shared" si="2"/>
        <v>2.15</v>
      </c>
      <c r="C117" s="6">
        <f t="shared" si="3"/>
        <v>4.6511627906977715E-3</v>
      </c>
    </row>
    <row r="118" spans="1:3" x14ac:dyDescent="0.25">
      <c r="A118" s="3">
        <v>116</v>
      </c>
      <c r="B118" s="5">
        <f t="shared" si="2"/>
        <v>2.16</v>
      </c>
      <c r="C118" s="6">
        <f t="shared" si="3"/>
        <v>4.6296296296295392E-3</v>
      </c>
    </row>
    <row r="119" spans="1:3" x14ac:dyDescent="0.25">
      <c r="A119" s="3">
        <v>117</v>
      </c>
      <c r="B119" s="5">
        <f t="shared" si="2"/>
        <v>2.17</v>
      </c>
      <c r="C119" s="6">
        <f t="shared" si="3"/>
        <v>4.6082949308754451E-3</v>
      </c>
    </row>
    <row r="120" spans="1:3" x14ac:dyDescent="0.25">
      <c r="A120" s="3">
        <v>118</v>
      </c>
      <c r="B120" s="5">
        <f t="shared" si="2"/>
        <v>2.1799999999999997</v>
      </c>
      <c r="C120" s="6">
        <f t="shared" si="3"/>
        <v>4.5871559633028358E-3</v>
      </c>
    </row>
    <row r="121" spans="1:3" x14ac:dyDescent="0.25">
      <c r="A121" s="3">
        <v>119</v>
      </c>
      <c r="B121" s="5">
        <f t="shared" si="2"/>
        <v>2.19</v>
      </c>
      <c r="C121" s="6">
        <f t="shared" si="3"/>
        <v>4.5662100456622667E-3</v>
      </c>
    </row>
    <row r="122" spans="1:3" x14ac:dyDescent="0.25">
      <c r="A122" s="3">
        <v>120</v>
      </c>
      <c r="B122" s="5">
        <f t="shared" si="2"/>
        <v>2.2000000000000002</v>
      </c>
      <c r="C122" s="6">
        <f t="shared" si="3"/>
        <v>4.5454545454544082E-3</v>
      </c>
    </row>
    <row r="123" spans="1:3" x14ac:dyDescent="0.25">
      <c r="A123" s="3">
        <v>121</v>
      </c>
      <c r="B123" s="5">
        <f t="shared" si="2"/>
        <v>2.21</v>
      </c>
      <c r="C123" s="6">
        <f t="shared" si="3"/>
        <v>4.5248868778280382E-3</v>
      </c>
    </row>
    <row r="124" spans="1:3" x14ac:dyDescent="0.25">
      <c r="A124" s="3">
        <v>122</v>
      </c>
      <c r="B124" s="5">
        <f t="shared" si="2"/>
        <v>2.2199999999999998</v>
      </c>
      <c r="C124" s="6">
        <f t="shared" si="3"/>
        <v>4.5045045045046805E-3</v>
      </c>
    </row>
    <row r="125" spans="1:3" x14ac:dyDescent="0.25">
      <c r="A125" s="3">
        <v>123</v>
      </c>
      <c r="B125" s="5">
        <f t="shared" si="2"/>
        <v>2.23</v>
      </c>
      <c r="C125" s="6">
        <f t="shared" si="3"/>
        <v>4.484304932735439E-3</v>
      </c>
    </row>
    <row r="126" spans="1:3" x14ac:dyDescent="0.25">
      <c r="A126" s="3">
        <v>124</v>
      </c>
      <c r="B126" s="5">
        <f t="shared" si="2"/>
        <v>2.2400000000000002</v>
      </c>
      <c r="C126" s="6">
        <f t="shared" si="3"/>
        <v>4.4642857142855874E-3</v>
      </c>
    </row>
    <row r="127" spans="1:3" x14ac:dyDescent="0.25">
      <c r="A127" s="3">
        <v>125</v>
      </c>
      <c r="B127" s="5">
        <f t="shared" si="2"/>
        <v>2.25</v>
      </c>
      <c r="C127" s="6">
        <f t="shared" si="3"/>
        <v>4.444444444444251E-3</v>
      </c>
    </row>
    <row r="128" spans="1:3" x14ac:dyDescent="0.25">
      <c r="A128" s="3">
        <v>126</v>
      </c>
      <c r="B128" s="5">
        <f t="shared" si="2"/>
        <v>2.2599999999999998</v>
      </c>
      <c r="C128" s="6">
        <f t="shared" si="3"/>
        <v>4.4247787610620648E-3</v>
      </c>
    </row>
    <row r="129" spans="1:3" x14ac:dyDescent="0.25">
      <c r="A129" s="3">
        <v>127</v>
      </c>
      <c r="B129" s="5">
        <f t="shared" si="2"/>
        <v>2.27</v>
      </c>
      <c r="C129" s="6">
        <f t="shared" si="3"/>
        <v>4.405286343612369E-3</v>
      </c>
    </row>
    <row r="130" spans="1:3" x14ac:dyDescent="0.25">
      <c r="A130" s="3">
        <v>128</v>
      </c>
      <c r="B130" s="5">
        <f t="shared" ref="B130:B193" si="4">1+A130/100</f>
        <v>2.2800000000000002</v>
      </c>
      <c r="C130" s="6">
        <f t="shared" ref="C130:C193" si="5">B131/B130-1</f>
        <v>4.3859649122806044E-3</v>
      </c>
    </row>
    <row r="131" spans="1:3" x14ac:dyDescent="0.25">
      <c r="A131" s="3">
        <v>129</v>
      </c>
      <c r="B131" s="5">
        <f t="shared" si="4"/>
        <v>2.29</v>
      </c>
      <c r="C131" s="6">
        <f t="shared" si="5"/>
        <v>4.366812227074135E-3</v>
      </c>
    </row>
    <row r="132" spans="1:3" x14ac:dyDescent="0.25">
      <c r="A132" s="3">
        <v>130</v>
      </c>
      <c r="B132" s="5">
        <f t="shared" si="4"/>
        <v>2.2999999999999998</v>
      </c>
      <c r="C132" s="6">
        <f t="shared" si="5"/>
        <v>4.3478260869567187E-3</v>
      </c>
    </row>
    <row r="133" spans="1:3" x14ac:dyDescent="0.25">
      <c r="A133" s="3">
        <v>131</v>
      </c>
      <c r="B133" s="5">
        <f t="shared" si="4"/>
        <v>2.31</v>
      </c>
      <c r="C133" s="6">
        <f t="shared" si="5"/>
        <v>4.3290043290045155E-3</v>
      </c>
    </row>
    <row r="134" spans="1:3" x14ac:dyDescent="0.25">
      <c r="A134" s="3">
        <v>132</v>
      </c>
      <c r="B134" s="5">
        <f t="shared" si="4"/>
        <v>2.3200000000000003</v>
      </c>
      <c r="C134" s="6">
        <f t="shared" si="5"/>
        <v>4.3103448275860767E-3</v>
      </c>
    </row>
    <row r="135" spans="1:3" x14ac:dyDescent="0.25">
      <c r="A135" s="3">
        <v>133</v>
      </c>
      <c r="B135" s="5">
        <f t="shared" si="4"/>
        <v>2.33</v>
      </c>
      <c r="C135" s="6">
        <f t="shared" si="5"/>
        <v>4.2918454935620964E-3</v>
      </c>
    </row>
    <row r="136" spans="1:3" x14ac:dyDescent="0.25">
      <c r="A136" s="3">
        <v>134</v>
      </c>
      <c r="B136" s="5">
        <f t="shared" si="4"/>
        <v>2.34</v>
      </c>
      <c r="C136" s="6">
        <f t="shared" si="5"/>
        <v>4.2735042735044804E-3</v>
      </c>
    </row>
    <row r="137" spans="1:3" x14ac:dyDescent="0.25">
      <c r="A137" s="3">
        <v>135</v>
      </c>
      <c r="B137" s="5">
        <f t="shared" si="4"/>
        <v>2.35</v>
      </c>
      <c r="C137" s="6">
        <f t="shared" si="5"/>
        <v>4.2553191489362874E-3</v>
      </c>
    </row>
    <row r="138" spans="1:3" x14ac:dyDescent="0.25">
      <c r="A138" s="3">
        <v>136</v>
      </c>
      <c r="B138" s="5">
        <f t="shared" si="4"/>
        <v>2.3600000000000003</v>
      </c>
      <c r="C138" s="6">
        <f t="shared" si="5"/>
        <v>4.237288135593209E-3</v>
      </c>
    </row>
    <row r="139" spans="1:3" x14ac:dyDescent="0.25">
      <c r="A139" s="3">
        <v>137</v>
      </c>
      <c r="B139" s="5">
        <f t="shared" si="4"/>
        <v>2.37</v>
      </c>
      <c r="C139" s="6">
        <f t="shared" si="5"/>
        <v>4.2194092827003704E-3</v>
      </c>
    </row>
    <row r="140" spans="1:3" x14ac:dyDescent="0.25">
      <c r="A140" s="3">
        <v>138</v>
      </c>
      <c r="B140" s="5">
        <f t="shared" si="4"/>
        <v>2.38</v>
      </c>
      <c r="C140" s="6">
        <f t="shared" si="5"/>
        <v>4.2016806722688926E-3</v>
      </c>
    </row>
    <row r="141" spans="1:3" x14ac:dyDescent="0.25">
      <c r="A141" s="3">
        <v>139</v>
      </c>
      <c r="B141" s="5">
        <f t="shared" si="4"/>
        <v>2.3899999999999997</v>
      </c>
      <c r="C141" s="6">
        <f t="shared" si="5"/>
        <v>4.1841004184102193E-3</v>
      </c>
    </row>
    <row r="142" spans="1:3" x14ac:dyDescent="0.25">
      <c r="A142" s="3">
        <v>140</v>
      </c>
      <c r="B142" s="5">
        <f t="shared" si="4"/>
        <v>2.4</v>
      </c>
      <c r="C142" s="6">
        <f t="shared" si="5"/>
        <v>4.1666666666668739E-3</v>
      </c>
    </row>
    <row r="143" spans="1:3" x14ac:dyDescent="0.25">
      <c r="A143" s="3">
        <v>141</v>
      </c>
      <c r="B143" s="5">
        <f t="shared" si="4"/>
        <v>2.41</v>
      </c>
      <c r="C143" s="6">
        <f t="shared" si="5"/>
        <v>4.1493775933609811E-3</v>
      </c>
    </row>
    <row r="144" spans="1:3" x14ac:dyDescent="0.25">
      <c r="A144" s="3">
        <v>142</v>
      </c>
      <c r="B144" s="5">
        <f t="shared" si="4"/>
        <v>2.42</v>
      </c>
      <c r="C144" s="6">
        <f t="shared" si="5"/>
        <v>4.1322314049585529E-3</v>
      </c>
    </row>
    <row r="145" spans="1:3" x14ac:dyDescent="0.25">
      <c r="A145" s="3">
        <v>143</v>
      </c>
      <c r="B145" s="5">
        <f t="shared" si="4"/>
        <v>2.4299999999999997</v>
      </c>
      <c r="C145" s="6">
        <f t="shared" si="5"/>
        <v>4.115226337448652E-3</v>
      </c>
    </row>
    <row r="146" spans="1:3" x14ac:dyDescent="0.25">
      <c r="A146" s="3">
        <v>144</v>
      </c>
      <c r="B146" s="5">
        <f t="shared" si="4"/>
        <v>2.44</v>
      </c>
      <c r="C146" s="6">
        <f t="shared" si="5"/>
        <v>4.098360655737876E-3</v>
      </c>
    </row>
    <row r="147" spans="1:3" x14ac:dyDescent="0.25">
      <c r="A147" s="3">
        <v>145</v>
      </c>
      <c r="B147" s="5">
        <f t="shared" si="4"/>
        <v>2.4500000000000002</v>
      </c>
      <c r="C147" s="6">
        <f t="shared" si="5"/>
        <v>4.0816326530610514E-3</v>
      </c>
    </row>
    <row r="148" spans="1:3" x14ac:dyDescent="0.25">
      <c r="A148" s="3">
        <v>146</v>
      </c>
      <c r="B148" s="5">
        <f t="shared" si="4"/>
        <v>2.46</v>
      </c>
      <c r="C148" s="6">
        <f t="shared" si="5"/>
        <v>4.0650406504063596E-3</v>
      </c>
    </row>
    <row r="149" spans="1:3" x14ac:dyDescent="0.25">
      <c r="A149" s="3">
        <v>147</v>
      </c>
      <c r="B149" s="5">
        <f t="shared" si="4"/>
        <v>2.4699999999999998</v>
      </c>
      <c r="C149" s="6">
        <f t="shared" si="5"/>
        <v>4.0485829959515662E-3</v>
      </c>
    </row>
    <row r="150" spans="1:3" x14ac:dyDescent="0.25">
      <c r="A150" s="3">
        <v>148</v>
      </c>
      <c r="B150" s="5">
        <f t="shared" si="4"/>
        <v>2.48</v>
      </c>
      <c r="C150" s="6">
        <f t="shared" si="5"/>
        <v>4.0322580645162365E-3</v>
      </c>
    </row>
    <row r="151" spans="1:3" x14ac:dyDescent="0.25">
      <c r="A151" s="3">
        <v>149</v>
      </c>
      <c r="B151" s="5">
        <f t="shared" si="4"/>
        <v>2.4900000000000002</v>
      </c>
      <c r="C151" s="6">
        <f t="shared" si="5"/>
        <v>4.0160642570279403E-3</v>
      </c>
    </row>
    <row r="152" spans="1:3" x14ac:dyDescent="0.25">
      <c r="A152" s="3">
        <v>150</v>
      </c>
      <c r="B152" s="5">
        <f t="shared" si="4"/>
        <v>2.5</v>
      </c>
      <c r="C152" s="6">
        <f t="shared" si="5"/>
        <v>4.0000000000000036E-3</v>
      </c>
    </row>
    <row r="153" spans="1:3" x14ac:dyDescent="0.25">
      <c r="A153" s="3">
        <v>151</v>
      </c>
      <c r="B153" s="5">
        <f t="shared" si="4"/>
        <v>2.5099999999999998</v>
      </c>
      <c r="C153" s="6">
        <f t="shared" si="5"/>
        <v>3.9840637450199168E-3</v>
      </c>
    </row>
    <row r="154" spans="1:3" x14ac:dyDescent="0.25">
      <c r="A154" s="3">
        <v>152</v>
      </c>
      <c r="B154" s="5">
        <f t="shared" si="4"/>
        <v>2.52</v>
      </c>
      <c r="C154" s="6">
        <f t="shared" si="5"/>
        <v>3.9682539682539542E-3</v>
      </c>
    </row>
    <row r="155" spans="1:3" x14ac:dyDescent="0.25">
      <c r="A155" s="3">
        <v>153</v>
      </c>
      <c r="B155" s="5">
        <f t="shared" si="4"/>
        <v>2.5300000000000002</v>
      </c>
      <c r="C155" s="6">
        <f t="shared" si="5"/>
        <v>3.9525691699604515E-3</v>
      </c>
    </row>
    <row r="156" spans="1:3" x14ac:dyDescent="0.25">
      <c r="A156" s="3">
        <v>154</v>
      </c>
      <c r="B156" s="5">
        <f t="shared" si="4"/>
        <v>2.54</v>
      </c>
      <c r="C156" s="6">
        <f t="shared" si="5"/>
        <v>3.937007874015741E-3</v>
      </c>
    </row>
    <row r="157" spans="1:3" x14ac:dyDescent="0.25">
      <c r="A157" s="3">
        <v>155</v>
      </c>
      <c r="B157" s="5">
        <f t="shared" si="4"/>
        <v>2.5499999999999998</v>
      </c>
      <c r="C157" s="6">
        <f t="shared" si="5"/>
        <v>3.9215686274509665E-3</v>
      </c>
    </row>
    <row r="158" spans="1:3" x14ac:dyDescent="0.25">
      <c r="A158" s="3">
        <v>156</v>
      </c>
      <c r="B158" s="5">
        <f t="shared" si="4"/>
        <v>2.56</v>
      </c>
      <c r="C158" s="6">
        <f t="shared" si="5"/>
        <v>3.90625E-3</v>
      </c>
    </row>
    <row r="159" spans="1:3" x14ac:dyDescent="0.25">
      <c r="A159" s="3">
        <v>157</v>
      </c>
      <c r="B159" s="5">
        <f t="shared" si="4"/>
        <v>2.5700000000000003</v>
      </c>
      <c r="C159" s="6">
        <f t="shared" si="5"/>
        <v>3.8910505836575737E-3</v>
      </c>
    </row>
    <row r="160" spans="1:3" x14ac:dyDescent="0.25">
      <c r="A160" s="3">
        <v>158</v>
      </c>
      <c r="B160" s="5">
        <f t="shared" si="4"/>
        <v>2.58</v>
      </c>
      <c r="C160" s="6">
        <f t="shared" si="5"/>
        <v>3.8759689922480689E-3</v>
      </c>
    </row>
    <row r="161" spans="1:3" x14ac:dyDescent="0.25">
      <c r="A161" s="3">
        <v>159</v>
      </c>
      <c r="B161" s="5">
        <f t="shared" si="4"/>
        <v>2.59</v>
      </c>
      <c r="C161" s="6">
        <f t="shared" si="5"/>
        <v>3.8610038610038533E-3</v>
      </c>
    </row>
    <row r="162" spans="1:3" x14ac:dyDescent="0.25">
      <c r="A162" s="3">
        <v>160</v>
      </c>
      <c r="B162" s="5">
        <f t="shared" si="4"/>
        <v>2.6</v>
      </c>
      <c r="C162" s="6">
        <f t="shared" si="5"/>
        <v>3.8461538461538325E-3</v>
      </c>
    </row>
    <row r="163" spans="1:3" x14ac:dyDescent="0.25">
      <c r="A163" s="3">
        <v>161</v>
      </c>
      <c r="B163" s="5">
        <f t="shared" si="4"/>
        <v>2.6100000000000003</v>
      </c>
      <c r="C163" s="6">
        <f t="shared" si="5"/>
        <v>3.8314176245208831E-3</v>
      </c>
    </row>
    <row r="164" spans="1:3" x14ac:dyDescent="0.25">
      <c r="A164" s="3">
        <v>162</v>
      </c>
      <c r="B164" s="5">
        <f t="shared" si="4"/>
        <v>2.62</v>
      </c>
      <c r="C164" s="6">
        <f t="shared" si="5"/>
        <v>3.8167938931297218E-3</v>
      </c>
    </row>
    <row r="165" spans="1:3" x14ac:dyDescent="0.25">
      <c r="A165" s="3">
        <v>163</v>
      </c>
      <c r="B165" s="5">
        <f t="shared" si="4"/>
        <v>2.63</v>
      </c>
      <c r="C165" s="6">
        <f t="shared" si="5"/>
        <v>3.8022813688212143E-3</v>
      </c>
    </row>
    <row r="166" spans="1:3" x14ac:dyDescent="0.25">
      <c r="A166" s="3">
        <v>164</v>
      </c>
      <c r="B166" s="5">
        <f t="shared" si="4"/>
        <v>2.6399999999999997</v>
      </c>
      <c r="C166" s="6">
        <f t="shared" si="5"/>
        <v>3.7878787878788955E-3</v>
      </c>
    </row>
    <row r="167" spans="1:3" x14ac:dyDescent="0.25">
      <c r="A167" s="3">
        <v>165</v>
      </c>
      <c r="B167" s="5">
        <f t="shared" si="4"/>
        <v>2.65</v>
      </c>
      <c r="C167" s="6">
        <f t="shared" si="5"/>
        <v>3.7735849056603765E-3</v>
      </c>
    </row>
    <row r="168" spans="1:3" x14ac:dyDescent="0.25">
      <c r="A168" s="3">
        <v>166</v>
      </c>
      <c r="B168" s="5">
        <f t="shared" si="4"/>
        <v>2.66</v>
      </c>
      <c r="C168" s="6">
        <f t="shared" si="5"/>
        <v>3.759398496240518E-3</v>
      </c>
    </row>
    <row r="169" spans="1:3" x14ac:dyDescent="0.25">
      <c r="A169" s="3">
        <v>167</v>
      </c>
      <c r="B169" s="5">
        <f t="shared" si="4"/>
        <v>2.67</v>
      </c>
      <c r="C169" s="6">
        <f t="shared" si="5"/>
        <v>3.7453183520599342E-3</v>
      </c>
    </row>
    <row r="170" spans="1:3" x14ac:dyDescent="0.25">
      <c r="A170" s="3">
        <v>168</v>
      </c>
      <c r="B170" s="5">
        <f t="shared" si="4"/>
        <v>2.6799999999999997</v>
      </c>
      <c r="C170" s="6">
        <f t="shared" si="5"/>
        <v>3.7313432835821558E-3</v>
      </c>
    </row>
    <row r="171" spans="1:3" x14ac:dyDescent="0.25">
      <c r="A171" s="3">
        <v>169</v>
      </c>
      <c r="B171" s="5">
        <f t="shared" si="4"/>
        <v>2.69</v>
      </c>
      <c r="C171" s="6">
        <f t="shared" si="5"/>
        <v>3.7174721189592308E-3</v>
      </c>
    </row>
    <row r="172" spans="1:3" x14ac:dyDescent="0.25">
      <c r="A172" s="3">
        <v>170</v>
      </c>
      <c r="B172" s="5">
        <f t="shared" si="4"/>
        <v>2.7</v>
      </c>
      <c r="C172" s="6">
        <f t="shared" si="5"/>
        <v>3.7037037037035425E-3</v>
      </c>
    </row>
    <row r="173" spans="1:3" x14ac:dyDescent="0.25">
      <c r="A173" s="3">
        <v>171</v>
      </c>
      <c r="B173" s="5">
        <f t="shared" si="4"/>
        <v>2.71</v>
      </c>
      <c r="C173" s="6">
        <f t="shared" si="5"/>
        <v>3.6900369003689537E-3</v>
      </c>
    </row>
    <row r="174" spans="1:3" x14ac:dyDescent="0.25">
      <c r="A174" s="3">
        <v>172</v>
      </c>
      <c r="B174" s="5">
        <f t="shared" si="4"/>
        <v>2.7199999999999998</v>
      </c>
      <c r="C174" s="6">
        <f t="shared" si="5"/>
        <v>3.6764705882352811E-3</v>
      </c>
    </row>
    <row r="175" spans="1:3" x14ac:dyDescent="0.25">
      <c r="A175" s="3">
        <v>173</v>
      </c>
      <c r="B175" s="5">
        <f t="shared" si="4"/>
        <v>2.73</v>
      </c>
      <c r="C175" s="6">
        <f t="shared" si="5"/>
        <v>3.66300366300365E-3</v>
      </c>
    </row>
    <row r="176" spans="1:3" x14ac:dyDescent="0.25">
      <c r="A176" s="3">
        <v>174</v>
      </c>
      <c r="B176" s="5">
        <f t="shared" si="4"/>
        <v>2.74</v>
      </c>
      <c r="C176" s="6">
        <f t="shared" si="5"/>
        <v>3.6496350364962904E-3</v>
      </c>
    </row>
    <row r="177" spans="1:3" x14ac:dyDescent="0.25">
      <c r="A177" s="3">
        <v>175</v>
      </c>
      <c r="B177" s="5">
        <f t="shared" si="4"/>
        <v>2.75</v>
      </c>
      <c r="C177" s="6">
        <f t="shared" si="5"/>
        <v>3.6363636363636598E-3</v>
      </c>
    </row>
    <row r="178" spans="1:3" x14ac:dyDescent="0.25">
      <c r="A178" s="3">
        <v>176</v>
      </c>
      <c r="B178" s="5">
        <f t="shared" si="4"/>
        <v>2.76</v>
      </c>
      <c r="C178" s="6">
        <f t="shared" si="5"/>
        <v>3.6231884057971175E-3</v>
      </c>
    </row>
    <row r="179" spans="1:3" x14ac:dyDescent="0.25">
      <c r="A179" s="3">
        <v>177</v>
      </c>
      <c r="B179" s="5">
        <f t="shared" si="4"/>
        <v>2.77</v>
      </c>
      <c r="C179" s="6">
        <f t="shared" si="5"/>
        <v>3.6101083032491488E-3</v>
      </c>
    </row>
    <row r="180" spans="1:3" x14ac:dyDescent="0.25">
      <c r="A180" s="3">
        <v>178</v>
      </c>
      <c r="B180" s="5">
        <f t="shared" si="4"/>
        <v>2.7800000000000002</v>
      </c>
      <c r="C180" s="6">
        <f t="shared" si="5"/>
        <v>3.597122302158251E-3</v>
      </c>
    </row>
    <row r="181" spans="1:3" x14ac:dyDescent="0.25">
      <c r="A181" s="3">
        <v>179</v>
      </c>
      <c r="B181" s="5">
        <f t="shared" si="4"/>
        <v>2.79</v>
      </c>
      <c r="C181" s="6">
        <f t="shared" si="5"/>
        <v>3.5842293906809264E-3</v>
      </c>
    </row>
    <row r="182" spans="1:3" x14ac:dyDescent="0.25">
      <c r="A182" s="3">
        <v>180</v>
      </c>
      <c r="B182" s="5">
        <f t="shared" si="4"/>
        <v>2.8</v>
      </c>
      <c r="C182" s="6">
        <f t="shared" si="5"/>
        <v>3.5714285714285587E-3</v>
      </c>
    </row>
    <row r="183" spans="1:3" x14ac:dyDescent="0.25">
      <c r="A183" s="3">
        <v>181</v>
      </c>
      <c r="B183" s="5">
        <f t="shared" si="4"/>
        <v>2.81</v>
      </c>
      <c r="C183" s="6">
        <f t="shared" si="5"/>
        <v>3.558718861210064E-3</v>
      </c>
    </row>
    <row r="184" spans="1:3" x14ac:dyDescent="0.25">
      <c r="A184" s="3">
        <v>182</v>
      </c>
      <c r="B184" s="5">
        <f t="shared" si="4"/>
        <v>2.8200000000000003</v>
      </c>
      <c r="C184" s="6">
        <f t="shared" si="5"/>
        <v>3.5460992907800915E-3</v>
      </c>
    </row>
    <row r="185" spans="1:3" x14ac:dyDescent="0.25">
      <c r="A185" s="3">
        <v>183</v>
      </c>
      <c r="B185" s="5">
        <f t="shared" si="4"/>
        <v>2.83</v>
      </c>
      <c r="C185" s="6">
        <f t="shared" si="5"/>
        <v>3.5335689045936647E-3</v>
      </c>
    </row>
    <row r="186" spans="1:3" x14ac:dyDescent="0.25">
      <c r="A186" s="3">
        <v>184</v>
      </c>
      <c r="B186" s="5">
        <f t="shared" si="4"/>
        <v>2.84</v>
      </c>
      <c r="C186" s="6">
        <f t="shared" si="5"/>
        <v>3.5211267605634866E-3</v>
      </c>
    </row>
    <row r="187" spans="1:3" x14ac:dyDescent="0.25">
      <c r="A187" s="3">
        <v>185</v>
      </c>
      <c r="B187" s="5">
        <f t="shared" si="4"/>
        <v>2.85</v>
      </c>
      <c r="C187" s="6">
        <f t="shared" si="5"/>
        <v>3.5087719298245723E-3</v>
      </c>
    </row>
    <row r="188" spans="1:3" x14ac:dyDescent="0.25">
      <c r="A188" s="3">
        <v>186</v>
      </c>
      <c r="B188" s="5">
        <f t="shared" si="4"/>
        <v>2.8600000000000003</v>
      </c>
      <c r="C188" s="6">
        <f t="shared" si="5"/>
        <v>3.4965034965033226E-3</v>
      </c>
    </row>
    <row r="189" spans="1:3" x14ac:dyDescent="0.25">
      <c r="A189" s="3">
        <v>187</v>
      </c>
      <c r="B189" s="5">
        <f t="shared" si="4"/>
        <v>2.87</v>
      </c>
      <c r="C189" s="6">
        <f t="shared" si="5"/>
        <v>3.4843205574912606E-3</v>
      </c>
    </row>
    <row r="190" spans="1:3" x14ac:dyDescent="0.25">
      <c r="A190" s="3">
        <v>188</v>
      </c>
      <c r="B190" s="5">
        <f t="shared" si="4"/>
        <v>2.88</v>
      </c>
      <c r="C190" s="6">
        <f t="shared" si="5"/>
        <v>3.4722222222220989E-3</v>
      </c>
    </row>
    <row r="191" spans="1:3" x14ac:dyDescent="0.25">
      <c r="A191" s="3">
        <v>189</v>
      </c>
      <c r="B191" s="5">
        <f t="shared" si="4"/>
        <v>2.8899999999999997</v>
      </c>
      <c r="C191" s="6">
        <f t="shared" si="5"/>
        <v>3.4602076124568004E-3</v>
      </c>
    </row>
    <row r="192" spans="1:3" x14ac:dyDescent="0.25">
      <c r="A192" s="3">
        <v>190</v>
      </c>
      <c r="B192" s="5">
        <f t="shared" si="4"/>
        <v>2.9</v>
      </c>
      <c r="C192" s="6">
        <f t="shared" si="5"/>
        <v>3.4482758620690834E-3</v>
      </c>
    </row>
    <row r="193" spans="1:3" x14ac:dyDescent="0.25">
      <c r="A193" s="3">
        <v>191</v>
      </c>
      <c r="B193" s="5">
        <f t="shared" si="4"/>
        <v>2.91</v>
      </c>
      <c r="C193" s="6">
        <f t="shared" si="5"/>
        <v>3.4364261168384758E-3</v>
      </c>
    </row>
    <row r="194" spans="1:3" x14ac:dyDescent="0.25">
      <c r="A194" s="3">
        <v>192</v>
      </c>
      <c r="B194" s="5">
        <f t="shared" ref="B194:B257" si="6">1+A194/100</f>
        <v>2.92</v>
      </c>
      <c r="C194" s="6">
        <f t="shared" ref="C194:C257" si="7">B195/B194-1</f>
        <v>3.424657534246478E-3</v>
      </c>
    </row>
    <row r="195" spans="1:3" x14ac:dyDescent="0.25">
      <c r="A195" s="3">
        <v>193</v>
      </c>
      <c r="B195" s="5">
        <f t="shared" si="6"/>
        <v>2.9299999999999997</v>
      </c>
      <c r="C195" s="6">
        <f t="shared" si="7"/>
        <v>3.4129692832765013E-3</v>
      </c>
    </row>
    <row r="196" spans="1:3" x14ac:dyDescent="0.25">
      <c r="A196" s="3">
        <v>194</v>
      </c>
      <c r="B196" s="5">
        <f t="shared" si="6"/>
        <v>2.94</v>
      </c>
      <c r="C196" s="6">
        <f t="shared" si="7"/>
        <v>3.4013605442178019E-3</v>
      </c>
    </row>
    <row r="197" spans="1:3" x14ac:dyDescent="0.25">
      <c r="A197" s="3">
        <v>195</v>
      </c>
      <c r="B197" s="5">
        <f t="shared" si="6"/>
        <v>2.95</v>
      </c>
      <c r="C197" s="6">
        <f t="shared" si="7"/>
        <v>3.3898305084745228E-3</v>
      </c>
    </row>
    <row r="198" spans="1:3" x14ac:dyDescent="0.25">
      <c r="A198" s="3">
        <v>196</v>
      </c>
      <c r="B198" s="5">
        <f t="shared" si="6"/>
        <v>2.96</v>
      </c>
      <c r="C198" s="6">
        <f t="shared" si="7"/>
        <v>3.3783783783782884E-3</v>
      </c>
    </row>
    <row r="199" spans="1:3" x14ac:dyDescent="0.25">
      <c r="A199" s="3">
        <v>197</v>
      </c>
      <c r="B199" s="5">
        <f t="shared" si="6"/>
        <v>2.9699999999999998</v>
      </c>
      <c r="C199" s="6">
        <f t="shared" si="7"/>
        <v>3.3670033670034627E-3</v>
      </c>
    </row>
    <row r="200" spans="1:3" x14ac:dyDescent="0.25">
      <c r="A200" s="3">
        <v>198</v>
      </c>
      <c r="B200" s="5">
        <f t="shared" si="6"/>
        <v>2.98</v>
      </c>
      <c r="C200" s="6">
        <f t="shared" si="7"/>
        <v>3.3557046979866278E-3</v>
      </c>
    </row>
    <row r="201" spans="1:3" x14ac:dyDescent="0.25">
      <c r="A201" s="3">
        <v>199</v>
      </c>
      <c r="B201" s="5">
        <f t="shared" si="6"/>
        <v>2.99</v>
      </c>
      <c r="C201" s="6">
        <f t="shared" si="7"/>
        <v>3.3444816053511683E-3</v>
      </c>
    </row>
    <row r="202" spans="1:3" x14ac:dyDescent="0.25">
      <c r="A202" s="3">
        <v>200</v>
      </c>
      <c r="B202" s="5">
        <f t="shared" si="6"/>
        <v>3</v>
      </c>
      <c r="C202" s="6">
        <f t="shared" si="7"/>
        <v>3.3333333333331883E-3</v>
      </c>
    </row>
    <row r="203" spans="1:3" x14ac:dyDescent="0.25">
      <c r="A203" s="3">
        <v>201</v>
      </c>
      <c r="B203" s="5">
        <f t="shared" si="6"/>
        <v>3.01</v>
      </c>
      <c r="C203" s="6">
        <f t="shared" si="7"/>
        <v>3.3222591362127574E-3</v>
      </c>
    </row>
    <row r="204" spans="1:3" x14ac:dyDescent="0.25">
      <c r="A204" s="3">
        <v>202</v>
      </c>
      <c r="B204" s="5">
        <f t="shared" si="6"/>
        <v>3.02</v>
      </c>
      <c r="C204" s="6">
        <f t="shared" si="7"/>
        <v>3.3112582781456013E-3</v>
      </c>
    </row>
    <row r="205" spans="1:3" x14ac:dyDescent="0.25">
      <c r="A205" s="3">
        <v>203</v>
      </c>
      <c r="B205" s="5">
        <f t="shared" si="6"/>
        <v>3.03</v>
      </c>
      <c r="C205" s="6">
        <f t="shared" si="7"/>
        <v>3.3003300330034513E-3</v>
      </c>
    </row>
    <row r="206" spans="1:3" x14ac:dyDescent="0.25">
      <c r="A206" s="3">
        <v>204</v>
      </c>
      <c r="B206" s="5">
        <f t="shared" si="6"/>
        <v>3.04</v>
      </c>
      <c r="C206" s="6">
        <f t="shared" si="7"/>
        <v>3.2894736842103978E-3</v>
      </c>
    </row>
    <row r="207" spans="1:3" x14ac:dyDescent="0.25">
      <c r="A207" s="3">
        <v>205</v>
      </c>
      <c r="B207" s="5">
        <f t="shared" si="6"/>
        <v>3.05</v>
      </c>
      <c r="C207" s="6">
        <f t="shared" si="7"/>
        <v>3.2786885245903452E-3</v>
      </c>
    </row>
    <row r="208" spans="1:3" x14ac:dyDescent="0.25">
      <c r="A208" s="3">
        <v>206</v>
      </c>
      <c r="B208" s="5">
        <f t="shared" si="6"/>
        <v>3.06</v>
      </c>
      <c r="C208" s="6">
        <f t="shared" si="7"/>
        <v>3.2679738562091387E-3</v>
      </c>
    </row>
    <row r="209" spans="1:3" x14ac:dyDescent="0.25">
      <c r="A209" s="3">
        <v>207</v>
      </c>
      <c r="B209" s="5">
        <f t="shared" si="6"/>
        <v>3.07</v>
      </c>
      <c r="C209" s="6">
        <f t="shared" si="7"/>
        <v>3.2573289902280145E-3</v>
      </c>
    </row>
    <row r="210" spans="1:3" x14ac:dyDescent="0.25">
      <c r="A210" s="3">
        <v>208</v>
      </c>
      <c r="B210" s="5">
        <f t="shared" si="6"/>
        <v>3.08</v>
      </c>
      <c r="C210" s="6">
        <f t="shared" si="7"/>
        <v>3.2467532467532756E-3</v>
      </c>
    </row>
    <row r="211" spans="1:3" x14ac:dyDescent="0.25">
      <c r="A211" s="3">
        <v>209</v>
      </c>
      <c r="B211" s="5">
        <f t="shared" si="6"/>
        <v>3.09</v>
      </c>
      <c r="C211" s="6">
        <f t="shared" si="7"/>
        <v>3.2362459546926292E-3</v>
      </c>
    </row>
    <row r="212" spans="1:3" x14ac:dyDescent="0.25">
      <c r="A212" s="3">
        <v>210</v>
      </c>
      <c r="B212" s="5">
        <f t="shared" si="6"/>
        <v>3.1</v>
      </c>
      <c r="C212" s="6">
        <f t="shared" si="7"/>
        <v>3.225806451612856E-3</v>
      </c>
    </row>
    <row r="213" spans="1:3" x14ac:dyDescent="0.25">
      <c r="A213" s="3">
        <v>211</v>
      </c>
      <c r="B213" s="5">
        <f t="shared" si="6"/>
        <v>3.11</v>
      </c>
      <c r="C213" s="6">
        <f t="shared" si="7"/>
        <v>3.215434083601254E-3</v>
      </c>
    </row>
    <row r="214" spans="1:3" x14ac:dyDescent="0.25">
      <c r="A214" s="3">
        <v>212</v>
      </c>
      <c r="B214" s="5">
        <f t="shared" si="6"/>
        <v>3.12</v>
      </c>
      <c r="C214" s="6">
        <f t="shared" si="7"/>
        <v>3.2051282051281937E-3</v>
      </c>
    </row>
    <row r="215" spans="1:3" x14ac:dyDescent="0.25">
      <c r="A215" s="3">
        <v>213</v>
      </c>
      <c r="B215" s="5">
        <f t="shared" si="6"/>
        <v>3.13</v>
      </c>
      <c r="C215" s="6">
        <f t="shared" si="7"/>
        <v>3.1948881789138905E-3</v>
      </c>
    </row>
    <row r="216" spans="1:3" x14ac:dyDescent="0.25">
      <c r="A216" s="3">
        <v>214</v>
      </c>
      <c r="B216" s="5">
        <f t="shared" si="6"/>
        <v>3.14</v>
      </c>
      <c r="C216" s="6">
        <f t="shared" si="7"/>
        <v>3.1847133757960666E-3</v>
      </c>
    </row>
    <row r="217" spans="1:3" x14ac:dyDescent="0.25">
      <c r="A217" s="3">
        <v>215</v>
      </c>
      <c r="B217" s="5">
        <f t="shared" si="6"/>
        <v>3.15</v>
      </c>
      <c r="C217" s="6">
        <f t="shared" si="7"/>
        <v>3.1746031746031633E-3</v>
      </c>
    </row>
    <row r="218" spans="1:3" x14ac:dyDescent="0.25">
      <c r="A218" s="3">
        <v>216</v>
      </c>
      <c r="B218" s="5">
        <f t="shared" si="6"/>
        <v>3.16</v>
      </c>
      <c r="C218" s="6">
        <f t="shared" si="7"/>
        <v>3.1645569620253333E-3</v>
      </c>
    </row>
    <row r="219" spans="1:3" x14ac:dyDescent="0.25">
      <c r="A219" s="3">
        <v>217</v>
      </c>
      <c r="B219" s="5">
        <f t="shared" si="6"/>
        <v>3.17</v>
      </c>
      <c r="C219" s="6">
        <f t="shared" si="7"/>
        <v>3.154574132492094E-3</v>
      </c>
    </row>
    <row r="220" spans="1:3" x14ac:dyDescent="0.25">
      <c r="A220" s="3">
        <v>218</v>
      </c>
      <c r="B220" s="5">
        <f t="shared" si="6"/>
        <v>3.18</v>
      </c>
      <c r="C220" s="6">
        <f t="shared" si="7"/>
        <v>3.1446540880502027E-3</v>
      </c>
    </row>
    <row r="221" spans="1:3" x14ac:dyDescent="0.25">
      <c r="A221" s="3">
        <v>219</v>
      </c>
      <c r="B221" s="5">
        <f t="shared" si="6"/>
        <v>3.19</v>
      </c>
      <c r="C221" s="6">
        <f t="shared" si="7"/>
        <v>3.1347962382446415E-3</v>
      </c>
    </row>
    <row r="222" spans="1:3" x14ac:dyDescent="0.25">
      <c r="A222" s="3">
        <v>220</v>
      </c>
      <c r="B222" s="5">
        <f t="shared" si="6"/>
        <v>3.2</v>
      </c>
      <c r="C222" s="6">
        <f t="shared" si="7"/>
        <v>3.1249999999998224E-3</v>
      </c>
    </row>
    <row r="223" spans="1:3" x14ac:dyDescent="0.25">
      <c r="A223" s="3">
        <v>221</v>
      </c>
      <c r="B223" s="5">
        <f t="shared" si="6"/>
        <v>3.21</v>
      </c>
      <c r="C223" s="6">
        <f t="shared" si="7"/>
        <v>3.1152647975078995E-3</v>
      </c>
    </row>
    <row r="224" spans="1:3" x14ac:dyDescent="0.25">
      <c r="A224" s="3">
        <v>222</v>
      </c>
      <c r="B224" s="5">
        <f t="shared" si="6"/>
        <v>3.22</v>
      </c>
      <c r="C224" s="6">
        <f t="shared" si="7"/>
        <v>3.1055900621117516E-3</v>
      </c>
    </row>
    <row r="225" spans="1:3" x14ac:dyDescent="0.25">
      <c r="A225" s="3">
        <v>223</v>
      </c>
      <c r="B225" s="5">
        <f t="shared" si="6"/>
        <v>3.23</v>
      </c>
      <c r="C225" s="6">
        <f t="shared" si="7"/>
        <v>3.0959752321981782E-3</v>
      </c>
    </row>
    <row r="226" spans="1:3" x14ac:dyDescent="0.25">
      <c r="A226" s="3">
        <v>224</v>
      </c>
      <c r="B226" s="5">
        <f t="shared" si="6"/>
        <v>3.24</v>
      </c>
      <c r="C226" s="6">
        <f t="shared" si="7"/>
        <v>3.0864197530864335E-3</v>
      </c>
    </row>
    <row r="227" spans="1:3" x14ac:dyDescent="0.25">
      <c r="A227" s="3">
        <v>225</v>
      </c>
      <c r="B227" s="5">
        <f t="shared" si="6"/>
        <v>3.25</v>
      </c>
      <c r="C227" s="6">
        <f t="shared" si="7"/>
        <v>3.0769230769229772E-3</v>
      </c>
    </row>
    <row r="228" spans="1:3" x14ac:dyDescent="0.25">
      <c r="A228" s="3">
        <v>226</v>
      </c>
      <c r="B228" s="5">
        <f t="shared" si="6"/>
        <v>3.26</v>
      </c>
      <c r="C228" s="6">
        <f t="shared" si="7"/>
        <v>3.0674846625766694E-3</v>
      </c>
    </row>
    <row r="229" spans="1:3" x14ac:dyDescent="0.25">
      <c r="A229" s="3">
        <v>227</v>
      </c>
      <c r="B229" s="5">
        <f t="shared" si="6"/>
        <v>3.27</v>
      </c>
      <c r="C229" s="6">
        <f t="shared" si="7"/>
        <v>3.0581039755350758E-3</v>
      </c>
    </row>
    <row r="230" spans="1:3" x14ac:dyDescent="0.25">
      <c r="A230" s="3">
        <v>228</v>
      </c>
      <c r="B230" s="5">
        <f t="shared" si="6"/>
        <v>3.28</v>
      </c>
      <c r="C230" s="6">
        <f t="shared" si="7"/>
        <v>3.0487804878049918E-3</v>
      </c>
    </row>
    <row r="231" spans="1:3" x14ac:dyDescent="0.25">
      <c r="A231" s="3">
        <v>229</v>
      </c>
      <c r="B231" s="5">
        <f t="shared" si="6"/>
        <v>3.29</v>
      </c>
      <c r="C231" s="6">
        <f t="shared" si="7"/>
        <v>3.0395136778114118E-3</v>
      </c>
    </row>
    <row r="232" spans="1:3" x14ac:dyDescent="0.25">
      <c r="A232" s="3">
        <v>230</v>
      </c>
      <c r="B232" s="5">
        <f t="shared" si="6"/>
        <v>3.3</v>
      </c>
      <c r="C232" s="6">
        <f t="shared" si="7"/>
        <v>3.0303030303031608E-3</v>
      </c>
    </row>
    <row r="233" spans="1:3" x14ac:dyDescent="0.25">
      <c r="A233" s="3">
        <v>231</v>
      </c>
      <c r="B233" s="5">
        <f t="shared" si="6"/>
        <v>3.31</v>
      </c>
      <c r="C233" s="6">
        <f t="shared" si="7"/>
        <v>3.0211480362536403E-3</v>
      </c>
    </row>
    <row r="234" spans="1:3" x14ac:dyDescent="0.25">
      <c r="A234" s="3">
        <v>232</v>
      </c>
      <c r="B234" s="5">
        <f t="shared" si="6"/>
        <v>3.32</v>
      </c>
      <c r="C234" s="6">
        <f t="shared" si="7"/>
        <v>3.0120481927711218E-3</v>
      </c>
    </row>
    <row r="235" spans="1:3" x14ac:dyDescent="0.25">
      <c r="A235" s="3">
        <v>233</v>
      </c>
      <c r="B235" s="5">
        <f t="shared" si="6"/>
        <v>3.33</v>
      </c>
      <c r="C235" s="6">
        <f t="shared" si="7"/>
        <v>3.0030030030030463E-3</v>
      </c>
    </row>
    <row r="236" spans="1:3" x14ac:dyDescent="0.25">
      <c r="A236" s="3">
        <v>234</v>
      </c>
      <c r="B236" s="5">
        <f t="shared" si="6"/>
        <v>3.34</v>
      </c>
      <c r="C236" s="6">
        <f t="shared" si="7"/>
        <v>2.9940119760478723E-3</v>
      </c>
    </row>
    <row r="237" spans="1:3" x14ac:dyDescent="0.25">
      <c r="A237" s="3">
        <v>235</v>
      </c>
      <c r="B237" s="5">
        <f t="shared" si="6"/>
        <v>3.35</v>
      </c>
      <c r="C237" s="6">
        <f t="shared" si="7"/>
        <v>2.9850746268655914E-3</v>
      </c>
    </row>
    <row r="238" spans="1:3" x14ac:dyDescent="0.25">
      <c r="A238" s="3">
        <v>236</v>
      </c>
      <c r="B238" s="5">
        <f t="shared" si="6"/>
        <v>3.36</v>
      </c>
      <c r="C238" s="6">
        <f t="shared" si="7"/>
        <v>2.9761904761904656E-3</v>
      </c>
    </row>
    <row r="239" spans="1:3" x14ac:dyDescent="0.25">
      <c r="A239" s="3">
        <v>237</v>
      </c>
      <c r="B239" s="5">
        <f t="shared" si="6"/>
        <v>3.37</v>
      </c>
      <c r="C239" s="6">
        <f t="shared" si="7"/>
        <v>2.9673590504450953E-3</v>
      </c>
    </row>
    <row r="240" spans="1:3" x14ac:dyDescent="0.25">
      <c r="A240" s="3">
        <v>238</v>
      </c>
      <c r="B240" s="5">
        <f t="shared" si="6"/>
        <v>3.38</v>
      </c>
      <c r="C240" s="6">
        <f t="shared" si="7"/>
        <v>2.9585798816569309E-3</v>
      </c>
    </row>
    <row r="241" spans="1:3" x14ac:dyDescent="0.25">
      <c r="A241" s="3">
        <v>239</v>
      </c>
      <c r="B241" s="5">
        <f t="shared" si="6"/>
        <v>3.39</v>
      </c>
      <c r="C241" s="6">
        <f t="shared" si="7"/>
        <v>2.9498525073745618E-3</v>
      </c>
    </row>
    <row r="242" spans="1:3" x14ac:dyDescent="0.25">
      <c r="A242" s="3">
        <v>240</v>
      </c>
      <c r="B242" s="5">
        <f t="shared" si="6"/>
        <v>3.4</v>
      </c>
      <c r="C242" s="6">
        <f t="shared" si="7"/>
        <v>2.9411764705882248E-3</v>
      </c>
    </row>
    <row r="243" spans="1:3" x14ac:dyDescent="0.25">
      <c r="A243" s="3">
        <v>241</v>
      </c>
      <c r="B243" s="5">
        <f t="shared" si="6"/>
        <v>3.41</v>
      </c>
      <c r="C243" s="6">
        <f t="shared" si="7"/>
        <v>2.9325513196480912E-3</v>
      </c>
    </row>
    <row r="244" spans="1:3" x14ac:dyDescent="0.25">
      <c r="A244" s="3">
        <v>242</v>
      </c>
      <c r="B244" s="5">
        <f t="shared" si="6"/>
        <v>3.42</v>
      </c>
      <c r="C244" s="6">
        <f t="shared" si="7"/>
        <v>2.9239766081872176E-3</v>
      </c>
    </row>
    <row r="245" spans="1:3" x14ac:dyDescent="0.25">
      <c r="A245" s="3">
        <v>243</v>
      </c>
      <c r="B245" s="5">
        <f t="shared" si="6"/>
        <v>3.43</v>
      </c>
      <c r="C245" s="6">
        <f t="shared" si="7"/>
        <v>2.9154518950436081E-3</v>
      </c>
    </row>
    <row r="246" spans="1:3" x14ac:dyDescent="0.25">
      <c r="A246" s="3">
        <v>244</v>
      </c>
      <c r="B246" s="5">
        <f t="shared" si="6"/>
        <v>3.44</v>
      </c>
      <c r="C246" s="6">
        <f t="shared" si="7"/>
        <v>2.9069767441860517E-3</v>
      </c>
    </row>
    <row r="247" spans="1:3" x14ac:dyDescent="0.25">
      <c r="A247" s="3">
        <v>245</v>
      </c>
      <c r="B247" s="5">
        <f t="shared" si="6"/>
        <v>3.45</v>
      </c>
      <c r="C247" s="6">
        <f t="shared" si="7"/>
        <v>2.8985507246375164E-3</v>
      </c>
    </row>
    <row r="248" spans="1:3" x14ac:dyDescent="0.25">
      <c r="A248" s="3">
        <v>246</v>
      </c>
      <c r="B248" s="5">
        <f t="shared" si="6"/>
        <v>3.46</v>
      </c>
      <c r="C248" s="6">
        <f t="shared" si="7"/>
        <v>2.8901734104047616E-3</v>
      </c>
    </row>
    <row r="249" spans="1:3" x14ac:dyDescent="0.25">
      <c r="A249" s="3">
        <v>247</v>
      </c>
      <c r="B249" s="5">
        <f t="shared" si="6"/>
        <v>3.47</v>
      </c>
      <c r="C249" s="6">
        <f t="shared" si="7"/>
        <v>2.8818443804032867E-3</v>
      </c>
    </row>
    <row r="250" spans="1:3" x14ac:dyDescent="0.25">
      <c r="A250" s="3">
        <v>248</v>
      </c>
      <c r="B250" s="5">
        <f t="shared" si="6"/>
        <v>3.48</v>
      </c>
      <c r="C250" s="6">
        <f t="shared" si="7"/>
        <v>2.8735632183909399E-3</v>
      </c>
    </row>
    <row r="251" spans="1:3" x14ac:dyDescent="0.25">
      <c r="A251" s="3">
        <v>249</v>
      </c>
      <c r="B251" s="5">
        <f t="shared" si="6"/>
        <v>3.49</v>
      </c>
      <c r="C251" s="6">
        <f t="shared" si="7"/>
        <v>2.8653295128939771E-3</v>
      </c>
    </row>
    <row r="252" spans="1:3" x14ac:dyDescent="0.25">
      <c r="A252" s="3">
        <v>250</v>
      </c>
      <c r="B252" s="5">
        <f t="shared" si="6"/>
        <v>3.5</v>
      </c>
      <c r="C252" s="6">
        <f t="shared" si="7"/>
        <v>2.8571428571428914E-3</v>
      </c>
    </row>
    <row r="253" spans="1:3" x14ac:dyDescent="0.25">
      <c r="A253" s="3">
        <v>251</v>
      </c>
      <c r="B253" s="5">
        <f t="shared" si="6"/>
        <v>3.51</v>
      </c>
      <c r="C253" s="6">
        <f t="shared" si="7"/>
        <v>2.8490028490029129E-3</v>
      </c>
    </row>
    <row r="254" spans="1:3" x14ac:dyDescent="0.25">
      <c r="A254" s="3">
        <v>252</v>
      </c>
      <c r="B254" s="5">
        <f t="shared" si="6"/>
        <v>3.52</v>
      </c>
      <c r="C254" s="6">
        <f t="shared" si="7"/>
        <v>2.8409090909089496E-3</v>
      </c>
    </row>
    <row r="255" spans="1:3" x14ac:dyDescent="0.25">
      <c r="A255" s="3">
        <v>253</v>
      </c>
      <c r="B255" s="5">
        <f t="shared" si="6"/>
        <v>3.53</v>
      </c>
      <c r="C255" s="6">
        <f t="shared" si="7"/>
        <v>2.8328611898018607E-3</v>
      </c>
    </row>
    <row r="256" spans="1:3" x14ac:dyDescent="0.25">
      <c r="A256" s="3">
        <v>254</v>
      </c>
      <c r="B256" s="5">
        <f t="shared" si="6"/>
        <v>3.54</v>
      </c>
      <c r="C256" s="6">
        <f t="shared" si="7"/>
        <v>2.8248587570620654E-3</v>
      </c>
    </row>
    <row r="257" spans="1:3" x14ac:dyDescent="0.25">
      <c r="A257" s="3">
        <v>255</v>
      </c>
      <c r="B257" s="5">
        <f t="shared" si="6"/>
        <v>3.55</v>
      </c>
      <c r="C257" s="6">
        <f t="shared" si="7"/>
        <v>2.8169014084507005E-3</v>
      </c>
    </row>
    <row r="258" spans="1:3" x14ac:dyDescent="0.25">
      <c r="A258" s="3">
        <v>256</v>
      </c>
      <c r="B258" s="5">
        <f t="shared" ref="B258:B321" si="8">1+A258/100</f>
        <v>3.56</v>
      </c>
      <c r="C258" s="6">
        <f t="shared" ref="C258:C321" si="9">B259/B258-1</f>
        <v>2.8089887640447841E-3</v>
      </c>
    </row>
    <row r="259" spans="1:3" x14ac:dyDescent="0.25">
      <c r="A259" s="3">
        <v>257</v>
      </c>
      <c r="B259" s="5">
        <f t="shared" si="8"/>
        <v>3.57</v>
      </c>
      <c r="C259" s="6">
        <f t="shared" si="9"/>
        <v>2.8011204481792618E-3</v>
      </c>
    </row>
    <row r="260" spans="1:3" x14ac:dyDescent="0.25">
      <c r="A260" s="3">
        <v>258</v>
      </c>
      <c r="B260" s="5">
        <f t="shared" si="8"/>
        <v>3.58</v>
      </c>
      <c r="C260" s="6">
        <f t="shared" si="9"/>
        <v>2.7932960893854997E-3</v>
      </c>
    </row>
    <row r="261" spans="1:3" x14ac:dyDescent="0.25">
      <c r="A261" s="3">
        <v>259</v>
      </c>
      <c r="B261" s="5">
        <f t="shared" si="8"/>
        <v>3.59</v>
      </c>
      <c r="C261" s="6">
        <f t="shared" si="9"/>
        <v>2.7855153203342198E-3</v>
      </c>
    </row>
    <row r="262" spans="1:3" x14ac:dyDescent="0.25">
      <c r="A262" s="3">
        <v>260</v>
      </c>
      <c r="B262" s="5">
        <f t="shared" si="8"/>
        <v>3.6</v>
      </c>
      <c r="C262" s="6">
        <f t="shared" si="9"/>
        <v>2.7777777777777679E-3</v>
      </c>
    </row>
    <row r="263" spans="1:3" x14ac:dyDescent="0.25">
      <c r="A263" s="3">
        <v>261</v>
      </c>
      <c r="B263" s="5">
        <f t="shared" si="8"/>
        <v>3.61</v>
      </c>
      <c r="C263" s="6">
        <f t="shared" si="9"/>
        <v>2.7700831024930483E-3</v>
      </c>
    </row>
    <row r="264" spans="1:3" x14ac:dyDescent="0.25">
      <c r="A264" s="3">
        <v>262</v>
      </c>
      <c r="B264" s="5">
        <f t="shared" si="8"/>
        <v>3.62</v>
      </c>
      <c r="C264" s="6">
        <f t="shared" si="9"/>
        <v>2.7624309392264568E-3</v>
      </c>
    </row>
    <row r="265" spans="1:3" x14ac:dyDescent="0.25">
      <c r="A265" s="3">
        <v>263</v>
      </c>
      <c r="B265" s="5">
        <f t="shared" si="8"/>
        <v>3.63</v>
      </c>
      <c r="C265" s="6">
        <f t="shared" si="9"/>
        <v>2.7548209366392573E-3</v>
      </c>
    </row>
    <row r="266" spans="1:3" x14ac:dyDescent="0.25">
      <c r="A266" s="3">
        <v>264</v>
      </c>
      <c r="B266" s="5">
        <f t="shared" si="8"/>
        <v>3.64</v>
      </c>
      <c r="C266" s="6">
        <f t="shared" si="9"/>
        <v>2.7472527472527375E-3</v>
      </c>
    </row>
    <row r="267" spans="1:3" x14ac:dyDescent="0.25">
      <c r="A267" s="3">
        <v>265</v>
      </c>
      <c r="B267" s="5">
        <f t="shared" si="8"/>
        <v>3.65</v>
      </c>
      <c r="C267" s="6">
        <f t="shared" si="9"/>
        <v>2.73972602739736E-3</v>
      </c>
    </row>
    <row r="268" spans="1:3" x14ac:dyDescent="0.25">
      <c r="A268" s="3">
        <v>266</v>
      </c>
      <c r="B268" s="5">
        <f t="shared" si="8"/>
        <v>3.66</v>
      </c>
      <c r="C268" s="6">
        <f t="shared" si="9"/>
        <v>2.732240437158362E-3</v>
      </c>
    </row>
    <row r="269" spans="1:3" x14ac:dyDescent="0.25">
      <c r="A269" s="3">
        <v>267</v>
      </c>
      <c r="B269" s="5">
        <f t="shared" si="8"/>
        <v>3.67</v>
      </c>
      <c r="C269" s="6">
        <f t="shared" si="9"/>
        <v>2.7247956403271267E-3</v>
      </c>
    </row>
    <row r="270" spans="1:3" x14ac:dyDescent="0.25">
      <c r="A270" s="3">
        <v>268</v>
      </c>
      <c r="B270" s="5">
        <f t="shared" si="8"/>
        <v>3.68</v>
      </c>
      <c r="C270" s="6">
        <f t="shared" si="9"/>
        <v>2.7173913043476716E-3</v>
      </c>
    </row>
    <row r="271" spans="1:3" x14ac:dyDescent="0.25">
      <c r="A271" s="3">
        <v>269</v>
      </c>
      <c r="B271" s="5">
        <f t="shared" si="8"/>
        <v>3.69</v>
      </c>
      <c r="C271" s="6">
        <f t="shared" si="9"/>
        <v>2.7100271002711285E-3</v>
      </c>
    </row>
    <row r="272" spans="1:3" x14ac:dyDescent="0.25">
      <c r="A272" s="3">
        <v>270</v>
      </c>
      <c r="B272" s="5">
        <f t="shared" si="8"/>
        <v>3.7</v>
      </c>
      <c r="C272" s="6">
        <f t="shared" si="9"/>
        <v>2.7027027027026751E-3</v>
      </c>
    </row>
    <row r="273" spans="1:3" x14ac:dyDescent="0.25">
      <c r="A273" s="3">
        <v>271</v>
      </c>
      <c r="B273" s="5">
        <f t="shared" si="8"/>
        <v>3.71</v>
      </c>
      <c r="C273" s="6">
        <f t="shared" si="9"/>
        <v>2.6954177897575704E-3</v>
      </c>
    </row>
    <row r="274" spans="1:3" x14ac:dyDescent="0.25">
      <c r="A274" s="3">
        <v>272</v>
      </c>
      <c r="B274" s="5">
        <f t="shared" si="8"/>
        <v>3.72</v>
      </c>
      <c r="C274" s="6">
        <f t="shared" si="9"/>
        <v>2.6881720430107503E-3</v>
      </c>
    </row>
    <row r="275" spans="1:3" x14ac:dyDescent="0.25">
      <c r="A275" s="3">
        <v>273</v>
      </c>
      <c r="B275" s="5">
        <f t="shared" si="8"/>
        <v>3.73</v>
      </c>
      <c r="C275" s="6">
        <f t="shared" si="9"/>
        <v>2.6809651474530849E-3</v>
      </c>
    </row>
    <row r="276" spans="1:3" x14ac:dyDescent="0.25">
      <c r="A276" s="3">
        <v>274</v>
      </c>
      <c r="B276" s="5">
        <f t="shared" si="8"/>
        <v>3.74</v>
      </c>
      <c r="C276" s="6">
        <f t="shared" si="9"/>
        <v>2.673796791443861E-3</v>
      </c>
    </row>
    <row r="277" spans="1:3" x14ac:dyDescent="0.25">
      <c r="A277" s="3">
        <v>275</v>
      </c>
      <c r="B277" s="5">
        <f t="shared" si="8"/>
        <v>3.75</v>
      </c>
      <c r="C277" s="6">
        <f t="shared" si="9"/>
        <v>2.666666666666595E-3</v>
      </c>
    </row>
    <row r="278" spans="1:3" x14ac:dyDescent="0.25">
      <c r="A278" s="3">
        <v>276</v>
      </c>
      <c r="B278" s="5">
        <f t="shared" si="8"/>
        <v>3.76</v>
      </c>
      <c r="C278" s="6">
        <f t="shared" si="9"/>
        <v>2.6595744680850686E-3</v>
      </c>
    </row>
    <row r="279" spans="1:3" x14ac:dyDescent="0.25">
      <c r="A279" s="3">
        <v>277</v>
      </c>
      <c r="B279" s="5">
        <f t="shared" si="8"/>
        <v>3.77</v>
      </c>
      <c r="C279" s="6">
        <f t="shared" si="9"/>
        <v>2.6525198938991412E-3</v>
      </c>
    </row>
    <row r="280" spans="1:3" x14ac:dyDescent="0.25">
      <c r="A280" s="3">
        <v>278</v>
      </c>
      <c r="B280" s="5">
        <f t="shared" si="8"/>
        <v>3.78</v>
      </c>
      <c r="C280" s="6">
        <f t="shared" si="9"/>
        <v>2.6455026455027841E-3</v>
      </c>
    </row>
    <row r="281" spans="1:3" x14ac:dyDescent="0.25">
      <c r="A281" s="3">
        <v>279</v>
      </c>
      <c r="B281" s="5">
        <f t="shared" si="8"/>
        <v>3.79</v>
      </c>
      <c r="C281" s="6">
        <f t="shared" si="9"/>
        <v>2.6385224274405594E-3</v>
      </c>
    </row>
    <row r="282" spans="1:3" x14ac:dyDescent="0.25">
      <c r="A282" s="3">
        <v>280</v>
      </c>
      <c r="B282" s="5">
        <f t="shared" si="8"/>
        <v>3.8</v>
      </c>
      <c r="C282" s="6">
        <f t="shared" si="9"/>
        <v>2.6315789473685403E-3</v>
      </c>
    </row>
    <row r="283" spans="1:3" x14ac:dyDescent="0.25">
      <c r="A283" s="3">
        <v>281</v>
      </c>
      <c r="B283" s="5">
        <f t="shared" si="8"/>
        <v>3.81</v>
      </c>
      <c r="C283" s="6">
        <f t="shared" si="9"/>
        <v>2.624671916010346E-3</v>
      </c>
    </row>
    <row r="284" spans="1:3" x14ac:dyDescent="0.25">
      <c r="A284" s="3">
        <v>282</v>
      </c>
      <c r="B284" s="5">
        <f t="shared" si="8"/>
        <v>3.82</v>
      </c>
      <c r="C284" s="6">
        <f t="shared" si="9"/>
        <v>2.6178010471205049E-3</v>
      </c>
    </row>
    <row r="285" spans="1:3" x14ac:dyDescent="0.25">
      <c r="A285" s="3">
        <v>283</v>
      </c>
      <c r="B285" s="5">
        <f t="shared" si="8"/>
        <v>3.83</v>
      </c>
      <c r="C285" s="6">
        <f t="shared" si="9"/>
        <v>2.6109660574411553E-3</v>
      </c>
    </row>
    <row r="286" spans="1:3" x14ac:dyDescent="0.25">
      <c r="A286" s="3">
        <v>284</v>
      </c>
      <c r="B286" s="5">
        <f t="shared" si="8"/>
        <v>3.84</v>
      </c>
      <c r="C286" s="6">
        <f t="shared" si="9"/>
        <v>2.6041666666667407E-3</v>
      </c>
    </row>
    <row r="287" spans="1:3" x14ac:dyDescent="0.25">
      <c r="A287" s="3">
        <v>285</v>
      </c>
      <c r="B287" s="5">
        <f t="shared" si="8"/>
        <v>3.85</v>
      </c>
      <c r="C287" s="6">
        <f t="shared" si="9"/>
        <v>2.5974025974024872E-3</v>
      </c>
    </row>
    <row r="288" spans="1:3" x14ac:dyDescent="0.25">
      <c r="A288" s="3">
        <v>286</v>
      </c>
      <c r="B288" s="5">
        <f t="shared" si="8"/>
        <v>3.86</v>
      </c>
      <c r="C288" s="6">
        <f t="shared" si="9"/>
        <v>2.5906735751295429E-3</v>
      </c>
    </row>
    <row r="289" spans="1:3" x14ac:dyDescent="0.25">
      <c r="A289" s="3">
        <v>287</v>
      </c>
      <c r="B289" s="5">
        <f t="shared" si="8"/>
        <v>3.87</v>
      </c>
      <c r="C289" s="6">
        <f t="shared" si="9"/>
        <v>2.5839793281652312E-3</v>
      </c>
    </row>
    <row r="290" spans="1:3" x14ac:dyDescent="0.25">
      <c r="A290" s="3">
        <v>288</v>
      </c>
      <c r="B290" s="5">
        <f t="shared" si="8"/>
        <v>3.88</v>
      </c>
      <c r="C290" s="6">
        <f t="shared" si="9"/>
        <v>2.5773195876288568E-3</v>
      </c>
    </row>
    <row r="291" spans="1:3" x14ac:dyDescent="0.25">
      <c r="A291" s="3">
        <v>289</v>
      </c>
      <c r="B291" s="5">
        <f t="shared" si="8"/>
        <v>3.89</v>
      </c>
      <c r="C291" s="6">
        <f t="shared" si="9"/>
        <v>2.5706940874035134E-3</v>
      </c>
    </row>
    <row r="292" spans="1:3" x14ac:dyDescent="0.25">
      <c r="A292" s="3">
        <v>290</v>
      </c>
      <c r="B292" s="5">
        <f t="shared" si="8"/>
        <v>3.9</v>
      </c>
      <c r="C292" s="6">
        <f t="shared" si="9"/>
        <v>2.564102564102555E-3</v>
      </c>
    </row>
    <row r="293" spans="1:3" x14ac:dyDescent="0.25">
      <c r="A293" s="3">
        <v>291</v>
      </c>
      <c r="B293" s="5">
        <f t="shared" si="8"/>
        <v>3.91</v>
      </c>
      <c r="C293" s="6">
        <f t="shared" si="9"/>
        <v>2.5575447570331811E-3</v>
      </c>
    </row>
    <row r="294" spans="1:3" x14ac:dyDescent="0.25">
      <c r="A294" s="3">
        <v>292</v>
      </c>
      <c r="B294" s="5">
        <f t="shared" si="8"/>
        <v>3.92</v>
      </c>
      <c r="C294" s="6">
        <f t="shared" si="9"/>
        <v>2.5510204081633514E-3</v>
      </c>
    </row>
    <row r="295" spans="1:3" x14ac:dyDescent="0.25">
      <c r="A295" s="3">
        <v>293</v>
      </c>
      <c r="B295" s="5">
        <f t="shared" si="8"/>
        <v>3.93</v>
      </c>
      <c r="C295" s="6">
        <f t="shared" si="9"/>
        <v>2.5445292620864812E-3</v>
      </c>
    </row>
    <row r="296" spans="1:3" x14ac:dyDescent="0.25">
      <c r="A296" s="3">
        <v>294</v>
      </c>
      <c r="B296" s="5">
        <f t="shared" si="8"/>
        <v>3.94</v>
      </c>
      <c r="C296" s="6">
        <f t="shared" si="9"/>
        <v>2.5380710659899108E-3</v>
      </c>
    </row>
    <row r="297" spans="1:3" x14ac:dyDescent="0.25">
      <c r="A297" s="3">
        <v>295</v>
      </c>
      <c r="B297" s="5">
        <f t="shared" si="8"/>
        <v>3.95</v>
      </c>
      <c r="C297" s="6">
        <f t="shared" si="9"/>
        <v>2.5316455696202667E-3</v>
      </c>
    </row>
    <row r="298" spans="1:3" x14ac:dyDescent="0.25">
      <c r="A298" s="3">
        <v>296</v>
      </c>
      <c r="B298" s="5">
        <f t="shared" si="8"/>
        <v>3.96</v>
      </c>
      <c r="C298" s="6">
        <f t="shared" si="9"/>
        <v>2.525252525252597E-3</v>
      </c>
    </row>
    <row r="299" spans="1:3" x14ac:dyDescent="0.25">
      <c r="A299" s="3">
        <v>297</v>
      </c>
      <c r="B299" s="5">
        <f t="shared" si="8"/>
        <v>3.97</v>
      </c>
      <c r="C299" s="6">
        <f t="shared" si="9"/>
        <v>2.5188916876572875E-3</v>
      </c>
    </row>
    <row r="300" spans="1:3" x14ac:dyDescent="0.25">
      <c r="A300" s="3">
        <v>298</v>
      </c>
      <c r="B300" s="5">
        <f t="shared" si="8"/>
        <v>3.98</v>
      </c>
      <c r="C300" s="6">
        <f t="shared" si="9"/>
        <v>2.5125628140703071E-3</v>
      </c>
    </row>
    <row r="301" spans="1:3" x14ac:dyDescent="0.25">
      <c r="A301" s="3">
        <v>299</v>
      </c>
      <c r="B301" s="5">
        <f t="shared" si="8"/>
        <v>3.99</v>
      </c>
      <c r="C301" s="6">
        <f t="shared" si="9"/>
        <v>2.5062656641603454E-3</v>
      </c>
    </row>
    <row r="302" spans="1:3" x14ac:dyDescent="0.25">
      <c r="A302" s="3">
        <v>300</v>
      </c>
      <c r="B302" s="5">
        <f t="shared" si="8"/>
        <v>4</v>
      </c>
      <c r="C302" s="6"/>
    </row>
  </sheetData>
  <mergeCells count="1">
    <mergeCell ref="E2:H5"/>
  </mergeCells>
  <phoneticPr fontId="2" type="noConversion"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02"/>
  <sheetViews>
    <sheetView zoomScale="90" workbookViewId="0">
      <pane ySplit="1" topLeftCell="A41" activePane="bottomLeft" state="frozen"/>
      <selection pane="bottomLeft" activeCell="A102" sqref="A102:C102"/>
    </sheetView>
  </sheetViews>
  <sheetFormatPr defaultRowHeight="14" x14ac:dyDescent="0.25"/>
  <cols>
    <col min="1" max="2" width="14" customWidth="1"/>
    <col min="3" max="3" width="16" customWidth="1"/>
    <col min="5" max="8" width="18" customWidth="1"/>
  </cols>
  <sheetData>
    <row r="1" spans="1:8" ht="28" customHeight="1" x14ac:dyDescent="0.25">
      <c r="A1" s="1" t="s">
        <v>55</v>
      </c>
      <c r="B1" s="1" t="s">
        <v>50</v>
      </c>
      <c r="C1" s="1" t="s">
        <v>51</v>
      </c>
      <c r="E1" s="4" t="s">
        <v>31</v>
      </c>
    </row>
    <row r="2" spans="1:8" x14ac:dyDescent="0.25">
      <c r="A2" s="3">
        <v>0</v>
      </c>
      <c r="B2" s="5">
        <f t="shared" ref="B2:B65" si="0">1+A2/100</f>
        <v>1</v>
      </c>
      <c r="C2" s="6">
        <f t="shared" ref="C2:C33" si="1">B3/B2-1</f>
        <v>1.0000000000000009E-2</v>
      </c>
      <c r="E2" s="7" t="s">
        <v>56</v>
      </c>
      <c r="F2" s="8"/>
      <c r="G2" s="8"/>
      <c r="H2" s="8"/>
    </row>
    <row r="3" spans="1:8" x14ac:dyDescent="0.25">
      <c r="A3" s="3">
        <v>1</v>
      </c>
      <c r="B3" s="5">
        <f t="shared" si="0"/>
        <v>1.01</v>
      </c>
      <c r="C3" s="6">
        <f t="shared" si="1"/>
        <v>9.9009900990099098E-3</v>
      </c>
      <c r="E3" s="8"/>
      <c r="F3" s="8"/>
      <c r="G3" s="8"/>
      <c r="H3" s="8"/>
    </row>
    <row r="4" spans="1:8" x14ac:dyDescent="0.25">
      <c r="A4" s="3">
        <v>2</v>
      </c>
      <c r="B4" s="5">
        <f t="shared" si="0"/>
        <v>1.02</v>
      </c>
      <c r="C4" s="6">
        <f t="shared" si="1"/>
        <v>9.8039215686274161E-3</v>
      </c>
      <c r="E4" s="8"/>
      <c r="F4" s="8"/>
      <c r="G4" s="8"/>
      <c r="H4" s="8"/>
    </row>
    <row r="5" spans="1:8" x14ac:dyDescent="0.25">
      <c r="A5" s="3">
        <v>3</v>
      </c>
      <c r="B5" s="5">
        <f t="shared" si="0"/>
        <v>1.03</v>
      </c>
      <c r="C5" s="6">
        <f t="shared" si="1"/>
        <v>9.7087378640776656E-3</v>
      </c>
      <c r="E5" s="8"/>
      <c r="F5" s="8"/>
      <c r="G5" s="8"/>
      <c r="H5" s="8"/>
    </row>
    <row r="6" spans="1:8" x14ac:dyDescent="0.25">
      <c r="A6" s="3">
        <v>4</v>
      </c>
      <c r="B6" s="5">
        <f t="shared" si="0"/>
        <v>1.04</v>
      </c>
      <c r="C6" s="6">
        <f t="shared" si="1"/>
        <v>9.6153846153845812E-3</v>
      </c>
    </row>
    <row r="7" spans="1:8" x14ac:dyDescent="0.25">
      <c r="A7" s="3">
        <v>5</v>
      </c>
      <c r="B7" s="5">
        <f t="shared" si="0"/>
        <v>1.05</v>
      </c>
      <c r="C7" s="6">
        <f t="shared" si="1"/>
        <v>9.52380952380949E-3</v>
      </c>
    </row>
    <row r="8" spans="1:8" x14ac:dyDescent="0.25">
      <c r="A8" s="3">
        <v>6</v>
      </c>
      <c r="B8" s="5">
        <f t="shared" si="0"/>
        <v>1.06</v>
      </c>
      <c r="C8" s="6">
        <f t="shared" si="1"/>
        <v>9.4339622641510523E-3</v>
      </c>
    </row>
    <row r="9" spans="1:8" x14ac:dyDescent="0.25">
      <c r="A9" s="3">
        <v>7</v>
      </c>
      <c r="B9" s="5">
        <f t="shared" si="0"/>
        <v>1.07</v>
      </c>
      <c r="C9" s="6">
        <f t="shared" si="1"/>
        <v>9.3457943925234765E-3</v>
      </c>
    </row>
    <row r="10" spans="1:8" x14ac:dyDescent="0.25">
      <c r="A10" s="3">
        <v>8</v>
      </c>
      <c r="B10" s="5">
        <f t="shared" si="0"/>
        <v>1.08</v>
      </c>
      <c r="C10" s="6">
        <f t="shared" si="1"/>
        <v>9.2592592592593004E-3</v>
      </c>
    </row>
    <row r="11" spans="1:8" x14ac:dyDescent="0.25">
      <c r="A11" s="3">
        <v>9</v>
      </c>
      <c r="B11" s="5">
        <f t="shared" si="0"/>
        <v>1.0900000000000001</v>
      </c>
      <c r="C11" s="6">
        <f t="shared" si="1"/>
        <v>9.1743119266054496E-3</v>
      </c>
    </row>
    <row r="12" spans="1:8" x14ac:dyDescent="0.25">
      <c r="A12" s="3">
        <v>10</v>
      </c>
      <c r="B12" s="5">
        <f t="shared" si="0"/>
        <v>1.1000000000000001</v>
      </c>
      <c r="C12" s="6">
        <f t="shared" si="1"/>
        <v>9.0909090909090384E-3</v>
      </c>
    </row>
    <row r="13" spans="1:8" x14ac:dyDescent="0.25">
      <c r="A13" s="3">
        <v>11</v>
      </c>
      <c r="B13" s="5">
        <f t="shared" si="0"/>
        <v>1.1100000000000001</v>
      </c>
      <c r="C13" s="6">
        <f t="shared" si="1"/>
        <v>9.009009009008917E-3</v>
      </c>
    </row>
    <row r="14" spans="1:8" x14ac:dyDescent="0.25">
      <c r="A14" s="3">
        <v>12</v>
      </c>
      <c r="B14" s="5">
        <f t="shared" si="0"/>
        <v>1.1200000000000001</v>
      </c>
      <c r="C14" s="6">
        <f t="shared" si="1"/>
        <v>8.9285714285711748E-3</v>
      </c>
    </row>
    <row r="15" spans="1:8" x14ac:dyDescent="0.25">
      <c r="A15" s="3">
        <v>13</v>
      </c>
      <c r="B15" s="5">
        <f t="shared" si="0"/>
        <v>1.1299999999999999</v>
      </c>
      <c r="C15" s="6">
        <f t="shared" si="1"/>
        <v>8.8495575221241296E-3</v>
      </c>
    </row>
    <row r="16" spans="1:8" x14ac:dyDescent="0.25">
      <c r="A16" s="3">
        <v>14</v>
      </c>
      <c r="B16" s="5">
        <f t="shared" si="0"/>
        <v>1.1400000000000001</v>
      </c>
      <c r="C16" s="6">
        <f t="shared" si="1"/>
        <v>8.7719298245612087E-3</v>
      </c>
    </row>
    <row r="17" spans="1:3" x14ac:dyDescent="0.25">
      <c r="A17" s="3">
        <v>15</v>
      </c>
      <c r="B17" s="5">
        <f t="shared" si="0"/>
        <v>1.1499999999999999</v>
      </c>
      <c r="C17" s="6">
        <f t="shared" si="1"/>
        <v>8.6956521739129933E-3</v>
      </c>
    </row>
    <row r="18" spans="1:3" x14ac:dyDescent="0.25">
      <c r="A18" s="3">
        <v>16</v>
      </c>
      <c r="B18" s="5">
        <f t="shared" si="0"/>
        <v>1.1599999999999999</v>
      </c>
      <c r="C18" s="6">
        <f t="shared" si="1"/>
        <v>8.6206896551723755E-3</v>
      </c>
    </row>
    <row r="19" spans="1:3" x14ac:dyDescent="0.25">
      <c r="A19" s="3">
        <v>17</v>
      </c>
      <c r="B19" s="5">
        <f t="shared" si="0"/>
        <v>1.17</v>
      </c>
      <c r="C19" s="6">
        <f t="shared" si="1"/>
        <v>8.5470085470085166E-3</v>
      </c>
    </row>
    <row r="20" spans="1:3" x14ac:dyDescent="0.25">
      <c r="A20" s="3">
        <v>18</v>
      </c>
      <c r="B20" s="5">
        <f t="shared" si="0"/>
        <v>1.18</v>
      </c>
      <c r="C20" s="6">
        <f t="shared" si="1"/>
        <v>8.4745762711864181E-3</v>
      </c>
    </row>
    <row r="21" spans="1:3" x14ac:dyDescent="0.25">
      <c r="A21" s="3">
        <v>19</v>
      </c>
      <c r="B21" s="5">
        <f t="shared" si="0"/>
        <v>1.19</v>
      </c>
      <c r="C21" s="6">
        <f t="shared" si="1"/>
        <v>8.4033613445377853E-3</v>
      </c>
    </row>
    <row r="22" spans="1:3" x14ac:dyDescent="0.25">
      <c r="A22" s="3">
        <v>20</v>
      </c>
      <c r="B22" s="5">
        <f t="shared" si="0"/>
        <v>1.2</v>
      </c>
      <c r="C22" s="6">
        <f t="shared" si="1"/>
        <v>8.3333333333333037E-3</v>
      </c>
    </row>
    <row r="23" spans="1:3" x14ac:dyDescent="0.25">
      <c r="A23" s="3">
        <v>21</v>
      </c>
      <c r="B23" s="5">
        <f t="shared" si="0"/>
        <v>1.21</v>
      </c>
      <c r="C23" s="6">
        <f t="shared" si="1"/>
        <v>8.2644628099173278E-3</v>
      </c>
    </row>
    <row r="24" spans="1:3" x14ac:dyDescent="0.25">
      <c r="A24" s="3">
        <v>22</v>
      </c>
      <c r="B24" s="5">
        <f t="shared" si="0"/>
        <v>1.22</v>
      </c>
      <c r="C24" s="6">
        <f t="shared" si="1"/>
        <v>8.1967213114753079E-3</v>
      </c>
    </row>
    <row r="25" spans="1:3" x14ac:dyDescent="0.25">
      <c r="A25" s="3">
        <v>23</v>
      </c>
      <c r="B25" s="5">
        <f t="shared" si="0"/>
        <v>1.23</v>
      </c>
      <c r="C25" s="6">
        <f t="shared" si="1"/>
        <v>8.1300813008129413E-3</v>
      </c>
    </row>
    <row r="26" spans="1:3" x14ac:dyDescent="0.25">
      <c r="A26" s="3">
        <v>24</v>
      </c>
      <c r="B26" s="5">
        <f t="shared" si="0"/>
        <v>1.24</v>
      </c>
      <c r="C26" s="6">
        <f t="shared" si="1"/>
        <v>8.0645161290322509E-3</v>
      </c>
    </row>
    <row r="27" spans="1:3" x14ac:dyDescent="0.25">
      <c r="A27" s="3">
        <v>25</v>
      </c>
      <c r="B27" s="5">
        <f t="shared" si="0"/>
        <v>1.25</v>
      </c>
      <c r="C27" s="6">
        <f t="shared" si="1"/>
        <v>8.0000000000000071E-3</v>
      </c>
    </row>
    <row r="28" spans="1:3" x14ac:dyDescent="0.25">
      <c r="A28" s="3">
        <v>26</v>
      </c>
      <c r="B28" s="5">
        <f t="shared" si="0"/>
        <v>1.26</v>
      </c>
      <c r="C28" s="6">
        <f t="shared" si="1"/>
        <v>7.9365079365079083E-3</v>
      </c>
    </row>
    <row r="29" spans="1:3" x14ac:dyDescent="0.25">
      <c r="A29" s="3">
        <v>27</v>
      </c>
      <c r="B29" s="5">
        <f t="shared" si="0"/>
        <v>1.27</v>
      </c>
      <c r="C29" s="6">
        <f t="shared" si="1"/>
        <v>7.8740157480314821E-3</v>
      </c>
    </row>
    <row r="30" spans="1:3" x14ac:dyDescent="0.25">
      <c r="A30" s="3">
        <v>28</v>
      </c>
      <c r="B30" s="5">
        <f t="shared" si="0"/>
        <v>1.28</v>
      </c>
      <c r="C30" s="6">
        <f t="shared" si="1"/>
        <v>7.8125E-3</v>
      </c>
    </row>
    <row r="31" spans="1:3" x14ac:dyDescent="0.25">
      <c r="A31" s="3">
        <v>29</v>
      </c>
      <c r="B31" s="5">
        <f t="shared" si="0"/>
        <v>1.29</v>
      </c>
      <c r="C31" s="6">
        <f t="shared" si="1"/>
        <v>7.7519379844961378E-3</v>
      </c>
    </row>
    <row r="32" spans="1:3" x14ac:dyDescent="0.25">
      <c r="A32" s="3">
        <v>30</v>
      </c>
      <c r="B32" s="5">
        <f t="shared" si="0"/>
        <v>1.3</v>
      </c>
      <c r="C32" s="6">
        <f t="shared" si="1"/>
        <v>7.692307692307665E-3</v>
      </c>
    </row>
    <row r="33" spans="1:3" x14ac:dyDescent="0.25">
      <c r="A33" s="3">
        <v>31</v>
      </c>
      <c r="B33" s="5">
        <f t="shared" si="0"/>
        <v>1.31</v>
      </c>
      <c r="C33" s="6">
        <f t="shared" si="1"/>
        <v>7.6335877862594437E-3</v>
      </c>
    </row>
    <row r="34" spans="1:3" x14ac:dyDescent="0.25">
      <c r="A34" s="3">
        <v>32</v>
      </c>
      <c r="B34" s="5">
        <f t="shared" si="0"/>
        <v>1.32</v>
      </c>
      <c r="C34" s="6">
        <f t="shared" ref="C34:C65" si="2">B35/B34-1</f>
        <v>7.575757575757569E-3</v>
      </c>
    </row>
    <row r="35" spans="1:3" x14ac:dyDescent="0.25">
      <c r="A35" s="3">
        <v>33</v>
      </c>
      <c r="B35" s="5">
        <f t="shared" si="0"/>
        <v>1.33</v>
      </c>
      <c r="C35" s="6">
        <f t="shared" si="2"/>
        <v>7.5187969924812581E-3</v>
      </c>
    </row>
    <row r="36" spans="1:3" x14ac:dyDescent="0.25">
      <c r="A36" s="3">
        <v>34</v>
      </c>
      <c r="B36" s="5">
        <f t="shared" si="0"/>
        <v>1.34</v>
      </c>
      <c r="C36" s="6">
        <f t="shared" si="2"/>
        <v>7.4626865671640896E-3</v>
      </c>
    </row>
    <row r="37" spans="1:3" x14ac:dyDescent="0.25">
      <c r="A37" s="3">
        <v>35</v>
      </c>
      <c r="B37" s="5">
        <f t="shared" si="0"/>
        <v>1.35</v>
      </c>
      <c r="C37" s="6">
        <f t="shared" si="2"/>
        <v>7.4074074074073071E-3</v>
      </c>
    </row>
    <row r="38" spans="1:3" x14ac:dyDescent="0.25">
      <c r="A38" s="3">
        <v>36</v>
      </c>
      <c r="B38" s="5">
        <f t="shared" si="0"/>
        <v>1.3599999999999999</v>
      </c>
      <c r="C38" s="6">
        <f t="shared" si="2"/>
        <v>7.3529411764707842E-3</v>
      </c>
    </row>
    <row r="39" spans="1:3" x14ac:dyDescent="0.25">
      <c r="A39" s="3">
        <v>37</v>
      </c>
      <c r="B39" s="5">
        <f t="shared" si="0"/>
        <v>1.37</v>
      </c>
      <c r="C39" s="6">
        <f t="shared" si="2"/>
        <v>7.2992700729925808E-3</v>
      </c>
    </row>
    <row r="40" spans="1:3" x14ac:dyDescent="0.25">
      <c r="A40" s="3">
        <v>38</v>
      </c>
      <c r="B40" s="5">
        <f t="shared" si="0"/>
        <v>1.38</v>
      </c>
      <c r="C40" s="6">
        <f t="shared" si="2"/>
        <v>7.2463768115944571E-3</v>
      </c>
    </row>
    <row r="41" spans="1:3" x14ac:dyDescent="0.25">
      <c r="A41" s="3">
        <v>39</v>
      </c>
      <c r="B41" s="5">
        <f t="shared" si="0"/>
        <v>1.3900000000000001</v>
      </c>
      <c r="C41" s="6">
        <f t="shared" si="2"/>
        <v>7.194244604316502E-3</v>
      </c>
    </row>
    <row r="42" spans="1:3" x14ac:dyDescent="0.25">
      <c r="A42" s="3">
        <v>40</v>
      </c>
      <c r="B42" s="5">
        <f t="shared" si="0"/>
        <v>1.4</v>
      </c>
      <c r="C42" s="6">
        <f t="shared" si="2"/>
        <v>7.1428571428571175E-3</v>
      </c>
    </row>
    <row r="43" spans="1:3" x14ac:dyDescent="0.25">
      <c r="A43" s="3">
        <v>41</v>
      </c>
      <c r="B43" s="5">
        <f t="shared" si="0"/>
        <v>1.41</v>
      </c>
      <c r="C43" s="6">
        <f t="shared" si="2"/>
        <v>7.0921985815601829E-3</v>
      </c>
    </row>
    <row r="44" spans="1:3" x14ac:dyDescent="0.25">
      <c r="A44" s="3">
        <v>42</v>
      </c>
      <c r="B44" s="5">
        <f t="shared" si="0"/>
        <v>1.42</v>
      </c>
      <c r="C44" s="6">
        <f t="shared" si="2"/>
        <v>7.0422535211267512E-3</v>
      </c>
    </row>
    <row r="45" spans="1:3" x14ac:dyDescent="0.25">
      <c r="A45" s="3">
        <v>43</v>
      </c>
      <c r="B45" s="5">
        <f t="shared" si="0"/>
        <v>1.43</v>
      </c>
      <c r="C45" s="6">
        <f t="shared" si="2"/>
        <v>6.9930069930070893E-3</v>
      </c>
    </row>
    <row r="46" spans="1:3" x14ac:dyDescent="0.25">
      <c r="A46" s="3">
        <v>44</v>
      </c>
      <c r="B46" s="5">
        <f t="shared" si="0"/>
        <v>1.44</v>
      </c>
      <c r="C46" s="6">
        <f t="shared" si="2"/>
        <v>6.9444444444444198E-3</v>
      </c>
    </row>
    <row r="47" spans="1:3" x14ac:dyDescent="0.25">
      <c r="A47" s="3">
        <v>45</v>
      </c>
      <c r="B47" s="5">
        <f t="shared" si="0"/>
        <v>1.45</v>
      </c>
      <c r="C47" s="6">
        <f t="shared" si="2"/>
        <v>6.8965517241379448E-3</v>
      </c>
    </row>
    <row r="48" spans="1:3" x14ac:dyDescent="0.25">
      <c r="A48" s="3">
        <v>46</v>
      </c>
      <c r="B48" s="5">
        <f t="shared" si="0"/>
        <v>1.46</v>
      </c>
      <c r="C48" s="6">
        <f t="shared" si="2"/>
        <v>6.8493150684931781E-3</v>
      </c>
    </row>
    <row r="49" spans="1:3" x14ac:dyDescent="0.25">
      <c r="A49" s="3">
        <v>47</v>
      </c>
      <c r="B49" s="5">
        <f t="shared" si="0"/>
        <v>1.47</v>
      </c>
      <c r="C49" s="6">
        <f t="shared" si="2"/>
        <v>6.8027210884353817E-3</v>
      </c>
    </row>
    <row r="50" spans="1:3" x14ac:dyDescent="0.25">
      <c r="A50" s="3">
        <v>48</v>
      </c>
      <c r="B50" s="5">
        <f t="shared" si="0"/>
        <v>1.48</v>
      </c>
      <c r="C50" s="6">
        <f t="shared" si="2"/>
        <v>6.7567567567567988E-3</v>
      </c>
    </row>
    <row r="51" spans="1:3" x14ac:dyDescent="0.25">
      <c r="A51" s="3">
        <v>49</v>
      </c>
      <c r="B51" s="5">
        <f t="shared" si="0"/>
        <v>1.49</v>
      </c>
      <c r="C51" s="6">
        <f t="shared" si="2"/>
        <v>6.7114093959732557E-3</v>
      </c>
    </row>
    <row r="52" spans="1:3" x14ac:dyDescent="0.25">
      <c r="A52" s="3">
        <v>50</v>
      </c>
      <c r="B52" s="5">
        <f t="shared" si="0"/>
        <v>1.5</v>
      </c>
      <c r="C52" s="6">
        <f t="shared" si="2"/>
        <v>6.6666666666665986E-3</v>
      </c>
    </row>
    <row r="53" spans="1:3" x14ac:dyDescent="0.25">
      <c r="A53" s="3">
        <v>51</v>
      </c>
      <c r="B53" s="5">
        <f t="shared" si="0"/>
        <v>1.51</v>
      </c>
      <c r="C53" s="6">
        <f t="shared" si="2"/>
        <v>6.6225165562914245E-3</v>
      </c>
    </row>
    <row r="54" spans="1:3" x14ac:dyDescent="0.25">
      <c r="A54" s="3">
        <v>52</v>
      </c>
      <c r="B54" s="5">
        <f t="shared" si="0"/>
        <v>1.52</v>
      </c>
      <c r="C54" s="6">
        <f t="shared" si="2"/>
        <v>6.5789473684210176E-3</v>
      </c>
    </row>
    <row r="55" spans="1:3" x14ac:dyDescent="0.25">
      <c r="A55" s="3">
        <v>53</v>
      </c>
      <c r="B55" s="5">
        <f t="shared" si="0"/>
        <v>1.53</v>
      </c>
      <c r="C55" s="6">
        <f t="shared" si="2"/>
        <v>6.5359477124182774E-3</v>
      </c>
    </row>
    <row r="56" spans="1:3" x14ac:dyDescent="0.25">
      <c r="A56" s="3">
        <v>54</v>
      </c>
      <c r="B56" s="5">
        <f t="shared" si="0"/>
        <v>1.54</v>
      </c>
      <c r="C56" s="6">
        <f t="shared" si="2"/>
        <v>6.4935064935065512E-3</v>
      </c>
    </row>
    <row r="57" spans="1:3" x14ac:dyDescent="0.25">
      <c r="A57" s="3">
        <v>55</v>
      </c>
      <c r="B57" s="5">
        <f t="shared" si="0"/>
        <v>1.55</v>
      </c>
      <c r="C57" s="6">
        <f t="shared" si="2"/>
        <v>6.4516129032257119E-3</v>
      </c>
    </row>
    <row r="58" spans="1:3" x14ac:dyDescent="0.25">
      <c r="A58" s="3">
        <v>56</v>
      </c>
      <c r="B58" s="5">
        <f t="shared" si="0"/>
        <v>1.56</v>
      </c>
      <c r="C58" s="6">
        <f t="shared" si="2"/>
        <v>6.4102564102561654E-3</v>
      </c>
    </row>
    <row r="59" spans="1:3" x14ac:dyDescent="0.25">
      <c r="A59" s="3">
        <v>57</v>
      </c>
      <c r="B59" s="5">
        <f t="shared" si="0"/>
        <v>1.5699999999999998</v>
      </c>
      <c r="C59" s="6">
        <f t="shared" si="2"/>
        <v>6.3694267515925773E-3</v>
      </c>
    </row>
    <row r="60" spans="1:3" x14ac:dyDescent="0.25">
      <c r="A60" s="3">
        <v>58</v>
      </c>
      <c r="B60" s="5">
        <f t="shared" si="0"/>
        <v>1.58</v>
      </c>
      <c r="C60" s="6">
        <f t="shared" si="2"/>
        <v>6.3291139240504446E-3</v>
      </c>
    </row>
    <row r="61" spans="1:3" x14ac:dyDescent="0.25">
      <c r="A61" s="3">
        <v>59</v>
      </c>
      <c r="B61" s="5">
        <f t="shared" si="0"/>
        <v>1.5899999999999999</v>
      </c>
      <c r="C61" s="6">
        <f t="shared" si="2"/>
        <v>6.2893081761008496E-3</v>
      </c>
    </row>
    <row r="62" spans="1:3" x14ac:dyDescent="0.25">
      <c r="A62" s="3">
        <v>60</v>
      </c>
      <c r="B62" s="5">
        <f t="shared" si="0"/>
        <v>1.6</v>
      </c>
      <c r="C62" s="6">
        <f t="shared" si="2"/>
        <v>6.2499999999998668E-3</v>
      </c>
    </row>
    <row r="63" spans="1:3" x14ac:dyDescent="0.25">
      <c r="A63" s="3">
        <v>61</v>
      </c>
      <c r="B63" s="5">
        <f t="shared" si="0"/>
        <v>1.6099999999999999</v>
      </c>
      <c r="C63" s="6">
        <f t="shared" si="2"/>
        <v>6.2111801242237252E-3</v>
      </c>
    </row>
    <row r="64" spans="1:3" x14ac:dyDescent="0.25">
      <c r="A64" s="3">
        <v>62</v>
      </c>
      <c r="B64" s="5">
        <f t="shared" si="0"/>
        <v>1.62</v>
      </c>
      <c r="C64" s="6">
        <f t="shared" si="2"/>
        <v>6.1728395061726449E-3</v>
      </c>
    </row>
    <row r="65" spans="1:3" x14ac:dyDescent="0.25">
      <c r="A65" s="3">
        <v>63</v>
      </c>
      <c r="B65" s="5">
        <f t="shared" si="0"/>
        <v>1.63</v>
      </c>
      <c r="C65" s="6">
        <f t="shared" si="2"/>
        <v>6.1349693251535609E-3</v>
      </c>
    </row>
    <row r="66" spans="1:3" x14ac:dyDescent="0.25">
      <c r="A66" s="3">
        <v>64</v>
      </c>
      <c r="B66" s="5">
        <f t="shared" ref="B66:B129" si="3">1+A66/100</f>
        <v>1.6400000000000001</v>
      </c>
      <c r="C66" s="6">
        <f t="shared" ref="C66:C97" si="4">B67/B66-1</f>
        <v>6.0975609756095395E-3</v>
      </c>
    </row>
    <row r="67" spans="1:3" x14ac:dyDescent="0.25">
      <c r="A67" s="3">
        <v>65</v>
      </c>
      <c r="B67" s="5">
        <f t="shared" si="3"/>
        <v>1.65</v>
      </c>
      <c r="C67" s="6">
        <f t="shared" si="4"/>
        <v>6.0606060606060996E-3</v>
      </c>
    </row>
    <row r="68" spans="1:3" x14ac:dyDescent="0.25">
      <c r="A68" s="3">
        <v>66</v>
      </c>
      <c r="B68" s="5">
        <f t="shared" si="3"/>
        <v>1.6600000000000001</v>
      </c>
      <c r="C68" s="6">
        <f t="shared" si="4"/>
        <v>6.0240963855420215E-3</v>
      </c>
    </row>
    <row r="69" spans="1:3" x14ac:dyDescent="0.25">
      <c r="A69" s="3">
        <v>67</v>
      </c>
      <c r="B69" s="5">
        <f t="shared" si="3"/>
        <v>1.67</v>
      </c>
      <c r="C69" s="6">
        <f t="shared" si="4"/>
        <v>5.9880239520959666E-3</v>
      </c>
    </row>
    <row r="70" spans="1:3" x14ac:dyDescent="0.25">
      <c r="A70" s="3">
        <v>68</v>
      </c>
      <c r="B70" s="5">
        <f t="shared" si="3"/>
        <v>1.6800000000000002</v>
      </c>
      <c r="C70" s="6">
        <f t="shared" si="4"/>
        <v>5.9523809523809312E-3</v>
      </c>
    </row>
    <row r="71" spans="1:3" x14ac:dyDescent="0.25">
      <c r="A71" s="3">
        <v>69</v>
      </c>
      <c r="B71" s="5">
        <f t="shared" si="3"/>
        <v>1.69</v>
      </c>
      <c r="C71" s="6">
        <f t="shared" si="4"/>
        <v>5.9171597633136397E-3</v>
      </c>
    </row>
    <row r="72" spans="1:3" x14ac:dyDescent="0.25">
      <c r="A72" s="3">
        <v>70</v>
      </c>
      <c r="B72" s="5">
        <f t="shared" si="3"/>
        <v>1.7</v>
      </c>
      <c r="C72" s="6">
        <f t="shared" si="4"/>
        <v>5.8823529411764497E-3</v>
      </c>
    </row>
    <row r="73" spans="1:3" x14ac:dyDescent="0.25">
      <c r="A73" s="3">
        <v>71</v>
      </c>
      <c r="B73" s="5">
        <f t="shared" si="3"/>
        <v>1.71</v>
      </c>
      <c r="C73" s="6">
        <f t="shared" si="4"/>
        <v>5.8479532163742132E-3</v>
      </c>
    </row>
    <row r="74" spans="1:3" x14ac:dyDescent="0.25">
      <c r="A74" s="3">
        <v>72</v>
      </c>
      <c r="B74" s="5">
        <f t="shared" si="3"/>
        <v>1.72</v>
      </c>
      <c r="C74" s="6">
        <f t="shared" si="4"/>
        <v>5.8139534883721034E-3</v>
      </c>
    </row>
    <row r="75" spans="1:3" x14ac:dyDescent="0.25">
      <c r="A75" s="3">
        <v>73</v>
      </c>
      <c r="B75" s="5">
        <f t="shared" si="3"/>
        <v>1.73</v>
      </c>
      <c r="C75" s="6">
        <f t="shared" si="4"/>
        <v>5.7803468208093012E-3</v>
      </c>
    </row>
    <row r="76" spans="1:3" x14ac:dyDescent="0.25">
      <c r="A76" s="3">
        <v>74</v>
      </c>
      <c r="B76" s="5">
        <f t="shared" si="3"/>
        <v>1.74</v>
      </c>
      <c r="C76" s="6">
        <f t="shared" si="4"/>
        <v>5.7471264367816577E-3</v>
      </c>
    </row>
    <row r="77" spans="1:3" x14ac:dyDescent="0.25">
      <c r="A77" s="3">
        <v>75</v>
      </c>
      <c r="B77" s="5">
        <f t="shared" si="3"/>
        <v>1.75</v>
      </c>
      <c r="C77" s="6">
        <f t="shared" si="4"/>
        <v>5.7142857142857828E-3</v>
      </c>
    </row>
    <row r="78" spans="1:3" x14ac:dyDescent="0.25">
      <c r="A78" s="3">
        <v>76</v>
      </c>
      <c r="B78" s="5">
        <f t="shared" si="3"/>
        <v>1.76</v>
      </c>
      <c r="C78" s="6">
        <f t="shared" si="4"/>
        <v>5.6818181818181213E-3</v>
      </c>
    </row>
    <row r="79" spans="1:3" x14ac:dyDescent="0.25">
      <c r="A79" s="3">
        <v>77</v>
      </c>
      <c r="B79" s="5">
        <f t="shared" si="3"/>
        <v>1.77</v>
      </c>
      <c r="C79" s="6">
        <f t="shared" si="4"/>
        <v>5.6497175141243527E-3</v>
      </c>
    </row>
    <row r="80" spans="1:3" x14ac:dyDescent="0.25">
      <c r="A80" s="3">
        <v>78</v>
      </c>
      <c r="B80" s="5">
        <f t="shared" si="3"/>
        <v>1.78</v>
      </c>
      <c r="C80" s="6">
        <f t="shared" si="4"/>
        <v>5.6179775280897903E-3</v>
      </c>
    </row>
    <row r="81" spans="1:3" x14ac:dyDescent="0.25">
      <c r="A81" s="3">
        <v>79</v>
      </c>
      <c r="B81" s="5">
        <f t="shared" si="3"/>
        <v>1.79</v>
      </c>
      <c r="C81" s="6">
        <f t="shared" si="4"/>
        <v>5.5865921787709993E-3</v>
      </c>
    </row>
    <row r="82" spans="1:3" x14ac:dyDescent="0.25">
      <c r="A82" s="3">
        <v>80</v>
      </c>
      <c r="B82" s="5">
        <f t="shared" si="3"/>
        <v>1.8</v>
      </c>
      <c r="C82" s="6">
        <f t="shared" si="4"/>
        <v>5.5555555555555358E-3</v>
      </c>
    </row>
    <row r="83" spans="1:3" x14ac:dyDescent="0.25">
      <c r="A83" s="3">
        <v>81</v>
      </c>
      <c r="B83" s="5">
        <f t="shared" si="3"/>
        <v>1.81</v>
      </c>
      <c r="C83" s="6">
        <f t="shared" si="4"/>
        <v>5.5248618784529135E-3</v>
      </c>
    </row>
    <row r="84" spans="1:3" x14ac:dyDescent="0.25">
      <c r="A84" s="3">
        <v>82</v>
      </c>
      <c r="B84" s="5">
        <f t="shared" si="3"/>
        <v>1.8199999999999998</v>
      </c>
      <c r="C84" s="6">
        <f t="shared" si="4"/>
        <v>5.494505494505697E-3</v>
      </c>
    </row>
    <row r="85" spans="1:3" x14ac:dyDescent="0.25">
      <c r="A85" s="3">
        <v>83</v>
      </c>
      <c r="B85" s="5">
        <f t="shared" si="3"/>
        <v>1.83</v>
      </c>
      <c r="C85" s="6">
        <f t="shared" si="4"/>
        <v>5.4644808743167239E-3</v>
      </c>
    </row>
    <row r="86" spans="1:3" x14ac:dyDescent="0.25">
      <c r="A86" s="3">
        <v>84</v>
      </c>
      <c r="B86" s="5">
        <f t="shared" si="3"/>
        <v>1.8399999999999999</v>
      </c>
      <c r="C86" s="6">
        <f t="shared" si="4"/>
        <v>5.4347826086957873E-3</v>
      </c>
    </row>
    <row r="87" spans="1:3" x14ac:dyDescent="0.25">
      <c r="A87" s="3">
        <v>85</v>
      </c>
      <c r="B87" s="5">
        <f t="shared" si="3"/>
        <v>1.85</v>
      </c>
      <c r="C87" s="6">
        <f t="shared" si="4"/>
        <v>5.4054054054053502E-3</v>
      </c>
    </row>
    <row r="88" spans="1:3" x14ac:dyDescent="0.25">
      <c r="A88" s="3">
        <v>86</v>
      </c>
      <c r="B88" s="5">
        <f t="shared" si="3"/>
        <v>1.8599999999999999</v>
      </c>
      <c r="C88" s="6">
        <f t="shared" si="4"/>
        <v>5.3763440860217226E-3</v>
      </c>
    </row>
    <row r="89" spans="1:3" x14ac:dyDescent="0.25">
      <c r="A89" s="3">
        <v>87</v>
      </c>
      <c r="B89" s="5">
        <f t="shared" si="3"/>
        <v>1.87</v>
      </c>
      <c r="C89" s="6">
        <f t="shared" si="4"/>
        <v>5.3475935828874999E-3</v>
      </c>
    </row>
    <row r="90" spans="1:3" x14ac:dyDescent="0.25">
      <c r="A90" s="3">
        <v>88</v>
      </c>
      <c r="B90" s="5">
        <f t="shared" si="3"/>
        <v>1.88</v>
      </c>
      <c r="C90" s="6">
        <f t="shared" si="4"/>
        <v>5.3191489361703592E-3</v>
      </c>
    </row>
    <row r="91" spans="1:3" x14ac:dyDescent="0.25">
      <c r="A91" s="3">
        <v>89</v>
      </c>
      <c r="B91" s="5">
        <f t="shared" si="3"/>
        <v>1.8900000000000001</v>
      </c>
      <c r="C91" s="6">
        <f t="shared" si="4"/>
        <v>5.2910052910051242E-3</v>
      </c>
    </row>
    <row r="92" spans="1:3" x14ac:dyDescent="0.25">
      <c r="A92" s="3">
        <v>90</v>
      </c>
      <c r="B92" s="5">
        <f t="shared" si="3"/>
        <v>1.9</v>
      </c>
      <c r="C92" s="6">
        <f t="shared" si="4"/>
        <v>5.2631578947368585E-3</v>
      </c>
    </row>
    <row r="93" spans="1:3" x14ac:dyDescent="0.25">
      <c r="A93" s="3">
        <v>91</v>
      </c>
      <c r="B93" s="5">
        <f t="shared" si="3"/>
        <v>1.9100000000000001</v>
      </c>
      <c r="C93" s="6">
        <f t="shared" si="4"/>
        <v>5.2356020942407877E-3</v>
      </c>
    </row>
    <row r="94" spans="1:3" x14ac:dyDescent="0.25">
      <c r="A94" s="3">
        <v>92</v>
      </c>
      <c r="B94" s="5">
        <f t="shared" si="3"/>
        <v>1.92</v>
      </c>
      <c r="C94" s="6">
        <f t="shared" si="4"/>
        <v>5.2083333333334814E-3</v>
      </c>
    </row>
    <row r="95" spans="1:3" x14ac:dyDescent="0.25">
      <c r="A95" s="3">
        <v>93</v>
      </c>
      <c r="B95" s="5">
        <f t="shared" si="3"/>
        <v>1.9300000000000002</v>
      </c>
      <c r="C95" s="6">
        <f t="shared" si="4"/>
        <v>5.1813471502588637E-3</v>
      </c>
    </row>
    <row r="96" spans="1:3" x14ac:dyDescent="0.25">
      <c r="A96" s="3">
        <v>94</v>
      </c>
      <c r="B96" s="5">
        <f t="shared" si="3"/>
        <v>1.94</v>
      </c>
      <c r="C96" s="6">
        <f t="shared" si="4"/>
        <v>5.1546391752577136E-3</v>
      </c>
    </row>
    <row r="97" spans="1:3" x14ac:dyDescent="0.25">
      <c r="A97" s="3">
        <v>95</v>
      </c>
      <c r="B97" s="5">
        <f t="shared" si="3"/>
        <v>1.95</v>
      </c>
      <c r="C97" s="6">
        <f t="shared" si="4"/>
        <v>5.12820512820511E-3</v>
      </c>
    </row>
    <row r="98" spans="1:3" x14ac:dyDescent="0.25">
      <c r="A98" s="3">
        <v>96</v>
      </c>
      <c r="B98" s="5">
        <f t="shared" si="3"/>
        <v>1.96</v>
      </c>
      <c r="C98" s="6">
        <f t="shared" ref="C98:C129" si="5">B99/B98-1</f>
        <v>5.1020408163264808E-3</v>
      </c>
    </row>
    <row r="99" spans="1:3" x14ac:dyDescent="0.25">
      <c r="A99" s="3">
        <v>97</v>
      </c>
      <c r="B99" s="5">
        <f t="shared" si="3"/>
        <v>1.97</v>
      </c>
      <c r="C99" s="6">
        <f t="shared" si="5"/>
        <v>5.0761421319795996E-3</v>
      </c>
    </row>
    <row r="100" spans="1:3" x14ac:dyDescent="0.25">
      <c r="A100" s="3">
        <v>98</v>
      </c>
      <c r="B100" s="5">
        <f t="shared" si="3"/>
        <v>1.98</v>
      </c>
      <c r="C100" s="6">
        <f t="shared" si="5"/>
        <v>5.050505050504972E-3</v>
      </c>
    </row>
    <row r="101" spans="1:3" x14ac:dyDescent="0.25">
      <c r="A101" s="3">
        <v>99</v>
      </c>
      <c r="B101" s="5">
        <f t="shared" si="3"/>
        <v>1.99</v>
      </c>
      <c r="C101" s="6">
        <f t="shared" si="5"/>
        <v>5.0251256281406143E-3</v>
      </c>
    </row>
    <row r="102" spans="1:3" x14ac:dyDescent="0.25">
      <c r="A102" s="3">
        <v>100</v>
      </c>
      <c r="B102" s="5">
        <f t="shared" si="3"/>
        <v>2</v>
      </c>
      <c r="C102" s="6">
        <f t="shared" si="5"/>
        <v>4.9999999999998934E-3</v>
      </c>
    </row>
    <row r="103" spans="1:3" x14ac:dyDescent="0.25">
      <c r="A103" s="3">
        <v>101</v>
      </c>
      <c r="B103" s="5">
        <f t="shared" si="3"/>
        <v>2.0099999999999998</v>
      </c>
      <c r="C103" s="6">
        <f t="shared" si="5"/>
        <v>4.9751243781095411E-3</v>
      </c>
    </row>
    <row r="104" spans="1:3" x14ac:dyDescent="0.25">
      <c r="A104" s="3">
        <v>102</v>
      </c>
      <c r="B104" s="5">
        <f t="shared" si="3"/>
        <v>2.02</v>
      </c>
      <c r="C104" s="6">
        <f t="shared" si="5"/>
        <v>4.9504950495049549E-3</v>
      </c>
    </row>
    <row r="105" spans="1:3" x14ac:dyDescent="0.25">
      <c r="A105" s="3">
        <v>103</v>
      </c>
      <c r="B105" s="5">
        <f t="shared" si="3"/>
        <v>2.0300000000000002</v>
      </c>
      <c r="C105" s="6">
        <f t="shared" si="5"/>
        <v>4.9261083743841194E-3</v>
      </c>
    </row>
    <row r="106" spans="1:3" x14ac:dyDescent="0.25">
      <c r="A106" s="3">
        <v>104</v>
      </c>
      <c r="B106" s="5">
        <f t="shared" si="3"/>
        <v>2.04</v>
      </c>
      <c r="C106" s="6">
        <f t="shared" si="5"/>
        <v>4.9019607843137081E-3</v>
      </c>
    </row>
    <row r="107" spans="1:3" x14ac:dyDescent="0.25">
      <c r="A107" s="3">
        <v>105</v>
      </c>
      <c r="B107" s="5">
        <f t="shared" si="3"/>
        <v>2.0499999999999998</v>
      </c>
      <c r="C107" s="6">
        <f t="shared" si="5"/>
        <v>4.8780487804878092E-3</v>
      </c>
    </row>
    <row r="108" spans="1:3" x14ac:dyDescent="0.25">
      <c r="A108" s="3">
        <v>106</v>
      </c>
      <c r="B108" s="5">
        <f t="shared" si="3"/>
        <v>2.06</v>
      </c>
      <c r="C108" s="6">
        <f t="shared" si="5"/>
        <v>4.8543689320390548E-3</v>
      </c>
    </row>
    <row r="109" spans="1:3" x14ac:dyDescent="0.25">
      <c r="A109" s="3">
        <v>107</v>
      </c>
      <c r="B109" s="5">
        <f t="shared" si="3"/>
        <v>2.0700000000000003</v>
      </c>
      <c r="C109" s="6">
        <f t="shared" si="5"/>
        <v>4.8309178743959347E-3</v>
      </c>
    </row>
    <row r="110" spans="1:3" x14ac:dyDescent="0.25">
      <c r="A110" s="3">
        <v>108</v>
      </c>
      <c r="B110" s="5">
        <f t="shared" si="3"/>
        <v>2.08</v>
      </c>
      <c r="C110" s="6">
        <f t="shared" si="5"/>
        <v>4.8076923076922906E-3</v>
      </c>
    </row>
    <row r="111" spans="1:3" x14ac:dyDescent="0.25">
      <c r="A111" s="3">
        <v>109</v>
      </c>
      <c r="B111" s="5">
        <f t="shared" si="3"/>
        <v>2.09</v>
      </c>
      <c r="C111" s="6">
        <f t="shared" si="5"/>
        <v>4.784688995215447E-3</v>
      </c>
    </row>
    <row r="112" spans="1:3" x14ac:dyDescent="0.25">
      <c r="A112" s="3">
        <v>110</v>
      </c>
      <c r="B112" s="5">
        <f t="shared" si="3"/>
        <v>2.1</v>
      </c>
      <c r="C112" s="6">
        <f t="shared" si="5"/>
        <v>4.761904761904967E-3</v>
      </c>
    </row>
    <row r="113" spans="1:3" x14ac:dyDescent="0.25">
      <c r="A113" s="3">
        <v>111</v>
      </c>
      <c r="B113" s="5">
        <f t="shared" si="3"/>
        <v>2.1100000000000003</v>
      </c>
      <c r="C113" s="6">
        <f t="shared" si="5"/>
        <v>4.7393364928909332E-3</v>
      </c>
    </row>
    <row r="114" spans="1:3" x14ac:dyDescent="0.25">
      <c r="A114" s="3">
        <v>112</v>
      </c>
      <c r="B114" s="5">
        <f t="shared" si="3"/>
        <v>2.12</v>
      </c>
      <c r="C114" s="6">
        <f t="shared" si="5"/>
        <v>4.7169811320753041E-3</v>
      </c>
    </row>
    <row r="115" spans="1:3" x14ac:dyDescent="0.25">
      <c r="A115" s="3">
        <v>113</v>
      </c>
      <c r="B115" s="5">
        <f t="shared" si="3"/>
        <v>2.13</v>
      </c>
      <c r="C115" s="6">
        <f t="shared" si="5"/>
        <v>4.6948356807510194E-3</v>
      </c>
    </row>
    <row r="116" spans="1:3" x14ac:dyDescent="0.25">
      <c r="A116" s="3">
        <v>114</v>
      </c>
      <c r="B116" s="5">
        <f t="shared" si="3"/>
        <v>2.1399999999999997</v>
      </c>
      <c r="C116" s="6">
        <f t="shared" si="5"/>
        <v>4.6728971962617383E-3</v>
      </c>
    </row>
    <row r="117" spans="1:3" x14ac:dyDescent="0.25">
      <c r="A117" s="3">
        <v>115</v>
      </c>
      <c r="B117" s="5">
        <f t="shared" si="3"/>
        <v>2.15</v>
      </c>
      <c r="C117" s="6">
        <f t="shared" si="5"/>
        <v>4.6511627906977715E-3</v>
      </c>
    </row>
    <row r="118" spans="1:3" x14ac:dyDescent="0.25">
      <c r="A118" s="3">
        <v>116</v>
      </c>
      <c r="B118" s="5">
        <f t="shared" si="3"/>
        <v>2.16</v>
      </c>
      <c r="C118" s="6">
        <f t="shared" si="5"/>
        <v>4.6296296296295392E-3</v>
      </c>
    </row>
    <row r="119" spans="1:3" x14ac:dyDescent="0.25">
      <c r="A119" s="3">
        <v>117</v>
      </c>
      <c r="B119" s="5">
        <f t="shared" si="3"/>
        <v>2.17</v>
      </c>
      <c r="C119" s="6">
        <f t="shared" si="5"/>
        <v>4.6082949308754451E-3</v>
      </c>
    </row>
    <row r="120" spans="1:3" x14ac:dyDescent="0.25">
      <c r="A120" s="3">
        <v>118</v>
      </c>
      <c r="B120" s="5">
        <f t="shared" si="3"/>
        <v>2.1799999999999997</v>
      </c>
      <c r="C120" s="6">
        <f t="shared" si="5"/>
        <v>4.5871559633028358E-3</v>
      </c>
    </row>
    <row r="121" spans="1:3" x14ac:dyDescent="0.25">
      <c r="A121" s="3">
        <v>119</v>
      </c>
      <c r="B121" s="5">
        <f t="shared" si="3"/>
        <v>2.19</v>
      </c>
      <c r="C121" s="6">
        <f t="shared" si="5"/>
        <v>4.5662100456622667E-3</v>
      </c>
    </row>
    <row r="122" spans="1:3" x14ac:dyDescent="0.25">
      <c r="A122" s="3">
        <v>120</v>
      </c>
      <c r="B122" s="5">
        <f t="shared" si="3"/>
        <v>2.2000000000000002</v>
      </c>
      <c r="C122" s="6">
        <f t="shared" si="5"/>
        <v>4.5454545454544082E-3</v>
      </c>
    </row>
    <row r="123" spans="1:3" x14ac:dyDescent="0.25">
      <c r="A123" s="3">
        <v>121</v>
      </c>
      <c r="B123" s="5">
        <f t="shared" si="3"/>
        <v>2.21</v>
      </c>
      <c r="C123" s="6">
        <f t="shared" si="5"/>
        <v>4.5248868778280382E-3</v>
      </c>
    </row>
    <row r="124" spans="1:3" x14ac:dyDescent="0.25">
      <c r="A124" s="3">
        <v>122</v>
      </c>
      <c r="B124" s="5">
        <f t="shared" si="3"/>
        <v>2.2199999999999998</v>
      </c>
      <c r="C124" s="6">
        <f t="shared" si="5"/>
        <v>4.5045045045046805E-3</v>
      </c>
    </row>
    <row r="125" spans="1:3" x14ac:dyDescent="0.25">
      <c r="A125" s="3">
        <v>123</v>
      </c>
      <c r="B125" s="5">
        <f t="shared" si="3"/>
        <v>2.23</v>
      </c>
      <c r="C125" s="6">
        <f t="shared" si="5"/>
        <v>4.484304932735439E-3</v>
      </c>
    </row>
    <row r="126" spans="1:3" x14ac:dyDescent="0.25">
      <c r="A126" s="3">
        <v>124</v>
      </c>
      <c r="B126" s="5">
        <f t="shared" si="3"/>
        <v>2.2400000000000002</v>
      </c>
      <c r="C126" s="6">
        <f t="shared" si="5"/>
        <v>4.4642857142855874E-3</v>
      </c>
    </row>
    <row r="127" spans="1:3" x14ac:dyDescent="0.25">
      <c r="A127" s="3">
        <v>125</v>
      </c>
      <c r="B127" s="5">
        <f t="shared" si="3"/>
        <v>2.25</v>
      </c>
      <c r="C127" s="6">
        <f t="shared" si="5"/>
        <v>4.444444444444251E-3</v>
      </c>
    </row>
    <row r="128" spans="1:3" x14ac:dyDescent="0.25">
      <c r="A128" s="3">
        <v>126</v>
      </c>
      <c r="B128" s="5">
        <f t="shared" si="3"/>
        <v>2.2599999999999998</v>
      </c>
      <c r="C128" s="6">
        <f t="shared" si="5"/>
        <v>4.4247787610620648E-3</v>
      </c>
    </row>
    <row r="129" spans="1:3" x14ac:dyDescent="0.25">
      <c r="A129" s="3">
        <v>127</v>
      </c>
      <c r="B129" s="5">
        <f t="shared" si="3"/>
        <v>2.27</v>
      </c>
      <c r="C129" s="6">
        <f t="shared" si="5"/>
        <v>4.405286343612369E-3</v>
      </c>
    </row>
    <row r="130" spans="1:3" x14ac:dyDescent="0.25">
      <c r="A130" s="3">
        <v>128</v>
      </c>
      <c r="B130" s="5">
        <f t="shared" ref="B130:B193" si="6">1+A130/100</f>
        <v>2.2800000000000002</v>
      </c>
      <c r="C130" s="6">
        <f t="shared" ref="C130:C161" si="7">B131/B130-1</f>
        <v>4.3859649122806044E-3</v>
      </c>
    </row>
    <row r="131" spans="1:3" x14ac:dyDescent="0.25">
      <c r="A131" s="3">
        <v>129</v>
      </c>
      <c r="B131" s="5">
        <f t="shared" si="6"/>
        <v>2.29</v>
      </c>
      <c r="C131" s="6">
        <f t="shared" si="7"/>
        <v>4.366812227074135E-3</v>
      </c>
    </row>
    <row r="132" spans="1:3" x14ac:dyDescent="0.25">
      <c r="A132" s="3">
        <v>130</v>
      </c>
      <c r="B132" s="5">
        <f t="shared" si="6"/>
        <v>2.2999999999999998</v>
      </c>
      <c r="C132" s="6">
        <f t="shared" si="7"/>
        <v>4.3478260869567187E-3</v>
      </c>
    </row>
    <row r="133" spans="1:3" x14ac:dyDescent="0.25">
      <c r="A133" s="3">
        <v>131</v>
      </c>
      <c r="B133" s="5">
        <f t="shared" si="6"/>
        <v>2.31</v>
      </c>
      <c r="C133" s="6">
        <f t="shared" si="7"/>
        <v>4.3290043290045155E-3</v>
      </c>
    </row>
    <row r="134" spans="1:3" x14ac:dyDescent="0.25">
      <c r="A134" s="3">
        <v>132</v>
      </c>
      <c r="B134" s="5">
        <f t="shared" si="6"/>
        <v>2.3200000000000003</v>
      </c>
      <c r="C134" s="6">
        <f t="shared" si="7"/>
        <v>4.3103448275860767E-3</v>
      </c>
    </row>
    <row r="135" spans="1:3" x14ac:dyDescent="0.25">
      <c r="A135" s="3">
        <v>133</v>
      </c>
      <c r="B135" s="5">
        <f t="shared" si="6"/>
        <v>2.33</v>
      </c>
      <c r="C135" s="6">
        <f t="shared" si="7"/>
        <v>4.2918454935620964E-3</v>
      </c>
    </row>
    <row r="136" spans="1:3" x14ac:dyDescent="0.25">
      <c r="A136" s="3">
        <v>134</v>
      </c>
      <c r="B136" s="5">
        <f t="shared" si="6"/>
        <v>2.34</v>
      </c>
      <c r="C136" s="6">
        <f t="shared" si="7"/>
        <v>4.2735042735044804E-3</v>
      </c>
    </row>
    <row r="137" spans="1:3" x14ac:dyDescent="0.25">
      <c r="A137" s="3">
        <v>135</v>
      </c>
      <c r="B137" s="5">
        <f t="shared" si="6"/>
        <v>2.35</v>
      </c>
      <c r="C137" s="6">
        <f t="shared" si="7"/>
        <v>4.2553191489362874E-3</v>
      </c>
    </row>
    <row r="138" spans="1:3" x14ac:dyDescent="0.25">
      <c r="A138" s="3">
        <v>136</v>
      </c>
      <c r="B138" s="5">
        <f t="shared" si="6"/>
        <v>2.3600000000000003</v>
      </c>
      <c r="C138" s="6">
        <f t="shared" si="7"/>
        <v>4.237288135593209E-3</v>
      </c>
    </row>
    <row r="139" spans="1:3" x14ac:dyDescent="0.25">
      <c r="A139" s="3">
        <v>137</v>
      </c>
      <c r="B139" s="5">
        <f t="shared" si="6"/>
        <v>2.37</v>
      </c>
      <c r="C139" s="6">
        <f t="shared" si="7"/>
        <v>4.2194092827003704E-3</v>
      </c>
    </row>
    <row r="140" spans="1:3" x14ac:dyDescent="0.25">
      <c r="A140" s="3">
        <v>138</v>
      </c>
      <c r="B140" s="5">
        <f t="shared" si="6"/>
        <v>2.38</v>
      </c>
      <c r="C140" s="6">
        <f t="shared" si="7"/>
        <v>4.2016806722688926E-3</v>
      </c>
    </row>
    <row r="141" spans="1:3" x14ac:dyDescent="0.25">
      <c r="A141" s="3">
        <v>139</v>
      </c>
      <c r="B141" s="5">
        <f t="shared" si="6"/>
        <v>2.3899999999999997</v>
      </c>
      <c r="C141" s="6">
        <f t="shared" si="7"/>
        <v>4.1841004184102193E-3</v>
      </c>
    </row>
    <row r="142" spans="1:3" x14ac:dyDescent="0.25">
      <c r="A142" s="3">
        <v>140</v>
      </c>
      <c r="B142" s="5">
        <f t="shared" si="6"/>
        <v>2.4</v>
      </c>
      <c r="C142" s="6">
        <f t="shared" si="7"/>
        <v>4.1666666666668739E-3</v>
      </c>
    </row>
    <row r="143" spans="1:3" x14ac:dyDescent="0.25">
      <c r="A143" s="3">
        <v>141</v>
      </c>
      <c r="B143" s="5">
        <f t="shared" si="6"/>
        <v>2.41</v>
      </c>
      <c r="C143" s="6">
        <f t="shared" si="7"/>
        <v>4.1493775933609811E-3</v>
      </c>
    </row>
    <row r="144" spans="1:3" x14ac:dyDescent="0.25">
      <c r="A144" s="3">
        <v>142</v>
      </c>
      <c r="B144" s="5">
        <f t="shared" si="6"/>
        <v>2.42</v>
      </c>
      <c r="C144" s="6">
        <f t="shared" si="7"/>
        <v>4.1322314049585529E-3</v>
      </c>
    </row>
    <row r="145" spans="1:3" x14ac:dyDescent="0.25">
      <c r="A145" s="3">
        <v>143</v>
      </c>
      <c r="B145" s="5">
        <f t="shared" si="6"/>
        <v>2.4299999999999997</v>
      </c>
      <c r="C145" s="6">
        <f t="shared" si="7"/>
        <v>4.115226337448652E-3</v>
      </c>
    </row>
    <row r="146" spans="1:3" x14ac:dyDescent="0.25">
      <c r="A146" s="3">
        <v>144</v>
      </c>
      <c r="B146" s="5">
        <f t="shared" si="6"/>
        <v>2.44</v>
      </c>
      <c r="C146" s="6">
        <f t="shared" si="7"/>
        <v>4.098360655737876E-3</v>
      </c>
    </row>
    <row r="147" spans="1:3" x14ac:dyDescent="0.25">
      <c r="A147" s="3">
        <v>145</v>
      </c>
      <c r="B147" s="5">
        <f t="shared" si="6"/>
        <v>2.4500000000000002</v>
      </c>
      <c r="C147" s="6">
        <f t="shared" si="7"/>
        <v>4.0816326530610514E-3</v>
      </c>
    </row>
    <row r="148" spans="1:3" x14ac:dyDescent="0.25">
      <c r="A148" s="3">
        <v>146</v>
      </c>
      <c r="B148" s="5">
        <f t="shared" si="6"/>
        <v>2.46</v>
      </c>
      <c r="C148" s="6">
        <f t="shared" si="7"/>
        <v>4.0650406504063596E-3</v>
      </c>
    </row>
    <row r="149" spans="1:3" x14ac:dyDescent="0.25">
      <c r="A149" s="3">
        <v>147</v>
      </c>
      <c r="B149" s="5">
        <f t="shared" si="6"/>
        <v>2.4699999999999998</v>
      </c>
      <c r="C149" s="6">
        <f t="shared" si="7"/>
        <v>4.0485829959515662E-3</v>
      </c>
    </row>
    <row r="150" spans="1:3" x14ac:dyDescent="0.25">
      <c r="A150" s="3">
        <v>148</v>
      </c>
      <c r="B150" s="5">
        <f t="shared" si="6"/>
        <v>2.48</v>
      </c>
      <c r="C150" s="6">
        <f t="shared" si="7"/>
        <v>4.0322580645162365E-3</v>
      </c>
    </row>
    <row r="151" spans="1:3" x14ac:dyDescent="0.25">
      <c r="A151" s="3">
        <v>149</v>
      </c>
      <c r="B151" s="5">
        <f t="shared" si="6"/>
        <v>2.4900000000000002</v>
      </c>
      <c r="C151" s="6">
        <f t="shared" si="7"/>
        <v>4.0160642570279403E-3</v>
      </c>
    </row>
    <row r="152" spans="1:3" x14ac:dyDescent="0.25">
      <c r="A152" s="3">
        <v>150</v>
      </c>
      <c r="B152" s="5">
        <f t="shared" si="6"/>
        <v>2.5</v>
      </c>
      <c r="C152" s="6">
        <f t="shared" si="7"/>
        <v>4.0000000000000036E-3</v>
      </c>
    </row>
    <row r="153" spans="1:3" x14ac:dyDescent="0.25">
      <c r="A153" s="3">
        <v>151</v>
      </c>
      <c r="B153" s="5">
        <f t="shared" si="6"/>
        <v>2.5099999999999998</v>
      </c>
      <c r="C153" s="6">
        <f t="shared" si="7"/>
        <v>3.9840637450199168E-3</v>
      </c>
    </row>
    <row r="154" spans="1:3" x14ac:dyDescent="0.25">
      <c r="A154" s="3">
        <v>152</v>
      </c>
      <c r="B154" s="5">
        <f t="shared" si="6"/>
        <v>2.52</v>
      </c>
      <c r="C154" s="6">
        <f t="shared" si="7"/>
        <v>3.9682539682539542E-3</v>
      </c>
    </row>
    <row r="155" spans="1:3" x14ac:dyDescent="0.25">
      <c r="A155" s="3">
        <v>153</v>
      </c>
      <c r="B155" s="5">
        <f t="shared" si="6"/>
        <v>2.5300000000000002</v>
      </c>
      <c r="C155" s="6">
        <f t="shared" si="7"/>
        <v>3.9525691699604515E-3</v>
      </c>
    </row>
    <row r="156" spans="1:3" x14ac:dyDescent="0.25">
      <c r="A156" s="3">
        <v>154</v>
      </c>
      <c r="B156" s="5">
        <f t="shared" si="6"/>
        <v>2.54</v>
      </c>
      <c r="C156" s="6">
        <f t="shared" si="7"/>
        <v>3.937007874015741E-3</v>
      </c>
    </row>
    <row r="157" spans="1:3" x14ac:dyDescent="0.25">
      <c r="A157" s="3">
        <v>155</v>
      </c>
      <c r="B157" s="5">
        <f t="shared" si="6"/>
        <v>2.5499999999999998</v>
      </c>
      <c r="C157" s="6">
        <f t="shared" si="7"/>
        <v>3.9215686274509665E-3</v>
      </c>
    </row>
    <row r="158" spans="1:3" x14ac:dyDescent="0.25">
      <c r="A158" s="3">
        <v>156</v>
      </c>
      <c r="B158" s="5">
        <f t="shared" si="6"/>
        <v>2.56</v>
      </c>
      <c r="C158" s="6">
        <f t="shared" si="7"/>
        <v>3.90625E-3</v>
      </c>
    </row>
    <row r="159" spans="1:3" x14ac:dyDescent="0.25">
      <c r="A159" s="3">
        <v>157</v>
      </c>
      <c r="B159" s="5">
        <f t="shared" si="6"/>
        <v>2.5700000000000003</v>
      </c>
      <c r="C159" s="6">
        <f t="shared" si="7"/>
        <v>3.8910505836575737E-3</v>
      </c>
    </row>
    <row r="160" spans="1:3" x14ac:dyDescent="0.25">
      <c r="A160" s="3">
        <v>158</v>
      </c>
      <c r="B160" s="5">
        <f t="shared" si="6"/>
        <v>2.58</v>
      </c>
      <c r="C160" s="6">
        <f t="shared" si="7"/>
        <v>3.8759689922480689E-3</v>
      </c>
    </row>
    <row r="161" spans="1:3" x14ac:dyDescent="0.25">
      <c r="A161" s="3">
        <v>159</v>
      </c>
      <c r="B161" s="5">
        <f t="shared" si="6"/>
        <v>2.59</v>
      </c>
      <c r="C161" s="6">
        <f t="shared" si="7"/>
        <v>3.8610038610038533E-3</v>
      </c>
    </row>
    <row r="162" spans="1:3" x14ac:dyDescent="0.25">
      <c r="A162" s="3">
        <v>160</v>
      </c>
      <c r="B162" s="5">
        <f t="shared" si="6"/>
        <v>2.6</v>
      </c>
      <c r="C162" s="6">
        <f t="shared" ref="C162:C193" si="8">B163/B162-1</f>
        <v>3.8461538461538325E-3</v>
      </c>
    </row>
    <row r="163" spans="1:3" x14ac:dyDescent="0.25">
      <c r="A163" s="3">
        <v>161</v>
      </c>
      <c r="B163" s="5">
        <f t="shared" si="6"/>
        <v>2.6100000000000003</v>
      </c>
      <c r="C163" s="6">
        <f t="shared" si="8"/>
        <v>3.8314176245208831E-3</v>
      </c>
    </row>
    <row r="164" spans="1:3" x14ac:dyDescent="0.25">
      <c r="A164" s="3">
        <v>162</v>
      </c>
      <c r="B164" s="5">
        <f t="shared" si="6"/>
        <v>2.62</v>
      </c>
      <c r="C164" s="6">
        <f t="shared" si="8"/>
        <v>3.8167938931297218E-3</v>
      </c>
    </row>
    <row r="165" spans="1:3" x14ac:dyDescent="0.25">
      <c r="A165" s="3">
        <v>163</v>
      </c>
      <c r="B165" s="5">
        <f t="shared" si="6"/>
        <v>2.63</v>
      </c>
      <c r="C165" s="6">
        <f t="shared" si="8"/>
        <v>3.8022813688212143E-3</v>
      </c>
    </row>
    <row r="166" spans="1:3" x14ac:dyDescent="0.25">
      <c r="A166" s="3">
        <v>164</v>
      </c>
      <c r="B166" s="5">
        <f t="shared" si="6"/>
        <v>2.6399999999999997</v>
      </c>
      <c r="C166" s="6">
        <f t="shared" si="8"/>
        <v>3.7878787878788955E-3</v>
      </c>
    </row>
    <row r="167" spans="1:3" x14ac:dyDescent="0.25">
      <c r="A167" s="3">
        <v>165</v>
      </c>
      <c r="B167" s="5">
        <f t="shared" si="6"/>
        <v>2.65</v>
      </c>
      <c r="C167" s="6">
        <f t="shared" si="8"/>
        <v>3.7735849056603765E-3</v>
      </c>
    </row>
    <row r="168" spans="1:3" x14ac:dyDescent="0.25">
      <c r="A168" s="3">
        <v>166</v>
      </c>
      <c r="B168" s="5">
        <f t="shared" si="6"/>
        <v>2.66</v>
      </c>
      <c r="C168" s="6">
        <f t="shared" si="8"/>
        <v>3.759398496240518E-3</v>
      </c>
    </row>
    <row r="169" spans="1:3" x14ac:dyDescent="0.25">
      <c r="A169" s="3">
        <v>167</v>
      </c>
      <c r="B169" s="5">
        <f t="shared" si="6"/>
        <v>2.67</v>
      </c>
      <c r="C169" s="6">
        <f t="shared" si="8"/>
        <v>3.7453183520599342E-3</v>
      </c>
    </row>
    <row r="170" spans="1:3" x14ac:dyDescent="0.25">
      <c r="A170" s="3">
        <v>168</v>
      </c>
      <c r="B170" s="5">
        <f t="shared" si="6"/>
        <v>2.6799999999999997</v>
      </c>
      <c r="C170" s="6">
        <f t="shared" si="8"/>
        <v>3.7313432835821558E-3</v>
      </c>
    </row>
    <row r="171" spans="1:3" x14ac:dyDescent="0.25">
      <c r="A171" s="3">
        <v>169</v>
      </c>
      <c r="B171" s="5">
        <f t="shared" si="6"/>
        <v>2.69</v>
      </c>
      <c r="C171" s="6">
        <f t="shared" si="8"/>
        <v>3.7174721189592308E-3</v>
      </c>
    </row>
    <row r="172" spans="1:3" x14ac:dyDescent="0.25">
      <c r="A172" s="3">
        <v>170</v>
      </c>
      <c r="B172" s="5">
        <f t="shared" si="6"/>
        <v>2.7</v>
      </c>
      <c r="C172" s="6">
        <f t="shared" si="8"/>
        <v>3.7037037037035425E-3</v>
      </c>
    </row>
    <row r="173" spans="1:3" x14ac:dyDescent="0.25">
      <c r="A173" s="3">
        <v>171</v>
      </c>
      <c r="B173" s="5">
        <f t="shared" si="6"/>
        <v>2.71</v>
      </c>
      <c r="C173" s="6">
        <f t="shared" si="8"/>
        <v>3.6900369003689537E-3</v>
      </c>
    </row>
    <row r="174" spans="1:3" x14ac:dyDescent="0.25">
      <c r="A174" s="3">
        <v>172</v>
      </c>
      <c r="B174" s="5">
        <f t="shared" si="6"/>
        <v>2.7199999999999998</v>
      </c>
      <c r="C174" s="6">
        <f t="shared" si="8"/>
        <v>3.6764705882352811E-3</v>
      </c>
    </row>
    <row r="175" spans="1:3" x14ac:dyDescent="0.25">
      <c r="A175" s="3">
        <v>173</v>
      </c>
      <c r="B175" s="5">
        <f t="shared" si="6"/>
        <v>2.73</v>
      </c>
      <c r="C175" s="6">
        <f t="shared" si="8"/>
        <v>3.66300366300365E-3</v>
      </c>
    </row>
    <row r="176" spans="1:3" x14ac:dyDescent="0.25">
      <c r="A176" s="3">
        <v>174</v>
      </c>
      <c r="B176" s="5">
        <f t="shared" si="6"/>
        <v>2.74</v>
      </c>
      <c r="C176" s="6">
        <f t="shared" si="8"/>
        <v>3.6496350364962904E-3</v>
      </c>
    </row>
    <row r="177" spans="1:3" x14ac:dyDescent="0.25">
      <c r="A177" s="3">
        <v>175</v>
      </c>
      <c r="B177" s="5">
        <f t="shared" si="6"/>
        <v>2.75</v>
      </c>
      <c r="C177" s="6">
        <f t="shared" si="8"/>
        <v>3.6363636363636598E-3</v>
      </c>
    </row>
    <row r="178" spans="1:3" x14ac:dyDescent="0.25">
      <c r="A178" s="3">
        <v>176</v>
      </c>
      <c r="B178" s="5">
        <f t="shared" si="6"/>
        <v>2.76</v>
      </c>
      <c r="C178" s="6">
        <f t="shared" si="8"/>
        <v>3.6231884057971175E-3</v>
      </c>
    </row>
    <row r="179" spans="1:3" x14ac:dyDescent="0.25">
      <c r="A179" s="3">
        <v>177</v>
      </c>
      <c r="B179" s="5">
        <f t="shared" si="6"/>
        <v>2.77</v>
      </c>
      <c r="C179" s="6">
        <f t="shared" si="8"/>
        <v>3.6101083032491488E-3</v>
      </c>
    </row>
    <row r="180" spans="1:3" x14ac:dyDescent="0.25">
      <c r="A180" s="3">
        <v>178</v>
      </c>
      <c r="B180" s="5">
        <f t="shared" si="6"/>
        <v>2.7800000000000002</v>
      </c>
      <c r="C180" s="6">
        <f t="shared" si="8"/>
        <v>3.597122302158251E-3</v>
      </c>
    </row>
    <row r="181" spans="1:3" x14ac:dyDescent="0.25">
      <c r="A181" s="3">
        <v>179</v>
      </c>
      <c r="B181" s="5">
        <f t="shared" si="6"/>
        <v>2.79</v>
      </c>
      <c r="C181" s="6">
        <f t="shared" si="8"/>
        <v>3.5842293906809264E-3</v>
      </c>
    </row>
    <row r="182" spans="1:3" x14ac:dyDescent="0.25">
      <c r="A182" s="3">
        <v>180</v>
      </c>
      <c r="B182" s="5">
        <f t="shared" si="6"/>
        <v>2.8</v>
      </c>
      <c r="C182" s="6">
        <f t="shared" si="8"/>
        <v>3.5714285714285587E-3</v>
      </c>
    </row>
    <row r="183" spans="1:3" x14ac:dyDescent="0.25">
      <c r="A183" s="3">
        <v>181</v>
      </c>
      <c r="B183" s="5">
        <f t="shared" si="6"/>
        <v>2.81</v>
      </c>
      <c r="C183" s="6">
        <f t="shared" si="8"/>
        <v>3.558718861210064E-3</v>
      </c>
    </row>
    <row r="184" spans="1:3" x14ac:dyDescent="0.25">
      <c r="A184" s="3">
        <v>182</v>
      </c>
      <c r="B184" s="5">
        <f t="shared" si="6"/>
        <v>2.8200000000000003</v>
      </c>
      <c r="C184" s="6">
        <f t="shared" si="8"/>
        <v>3.5460992907800915E-3</v>
      </c>
    </row>
    <row r="185" spans="1:3" x14ac:dyDescent="0.25">
      <c r="A185" s="3">
        <v>183</v>
      </c>
      <c r="B185" s="5">
        <f t="shared" si="6"/>
        <v>2.83</v>
      </c>
      <c r="C185" s="6">
        <f t="shared" si="8"/>
        <v>3.5335689045936647E-3</v>
      </c>
    </row>
    <row r="186" spans="1:3" x14ac:dyDescent="0.25">
      <c r="A186" s="3">
        <v>184</v>
      </c>
      <c r="B186" s="5">
        <f t="shared" si="6"/>
        <v>2.84</v>
      </c>
      <c r="C186" s="6">
        <f t="shared" si="8"/>
        <v>3.5211267605634866E-3</v>
      </c>
    </row>
    <row r="187" spans="1:3" x14ac:dyDescent="0.25">
      <c r="A187" s="3">
        <v>185</v>
      </c>
      <c r="B187" s="5">
        <f t="shared" si="6"/>
        <v>2.85</v>
      </c>
      <c r="C187" s="6">
        <f t="shared" si="8"/>
        <v>3.5087719298245723E-3</v>
      </c>
    </row>
    <row r="188" spans="1:3" x14ac:dyDescent="0.25">
      <c r="A188" s="3">
        <v>186</v>
      </c>
      <c r="B188" s="5">
        <f t="shared" si="6"/>
        <v>2.8600000000000003</v>
      </c>
      <c r="C188" s="6">
        <f t="shared" si="8"/>
        <v>3.4965034965033226E-3</v>
      </c>
    </row>
    <row r="189" spans="1:3" x14ac:dyDescent="0.25">
      <c r="A189" s="3">
        <v>187</v>
      </c>
      <c r="B189" s="5">
        <f t="shared" si="6"/>
        <v>2.87</v>
      </c>
      <c r="C189" s="6">
        <f t="shared" si="8"/>
        <v>3.4843205574912606E-3</v>
      </c>
    </row>
    <row r="190" spans="1:3" x14ac:dyDescent="0.25">
      <c r="A190" s="3">
        <v>188</v>
      </c>
      <c r="B190" s="5">
        <f t="shared" si="6"/>
        <v>2.88</v>
      </c>
      <c r="C190" s="6">
        <f t="shared" si="8"/>
        <v>3.4722222222220989E-3</v>
      </c>
    </row>
    <row r="191" spans="1:3" x14ac:dyDescent="0.25">
      <c r="A191" s="3">
        <v>189</v>
      </c>
      <c r="B191" s="5">
        <f t="shared" si="6"/>
        <v>2.8899999999999997</v>
      </c>
      <c r="C191" s="6">
        <f t="shared" si="8"/>
        <v>3.4602076124568004E-3</v>
      </c>
    </row>
    <row r="192" spans="1:3" x14ac:dyDescent="0.25">
      <c r="A192" s="3">
        <v>190</v>
      </c>
      <c r="B192" s="5">
        <f t="shared" si="6"/>
        <v>2.9</v>
      </c>
      <c r="C192" s="6">
        <f t="shared" si="8"/>
        <v>3.4482758620690834E-3</v>
      </c>
    </row>
    <row r="193" spans="1:3" x14ac:dyDescent="0.25">
      <c r="A193" s="3">
        <v>191</v>
      </c>
      <c r="B193" s="5">
        <f t="shared" si="6"/>
        <v>2.91</v>
      </c>
      <c r="C193" s="6">
        <f t="shared" si="8"/>
        <v>3.4364261168384758E-3</v>
      </c>
    </row>
    <row r="194" spans="1:3" x14ac:dyDescent="0.25">
      <c r="A194" s="3">
        <v>192</v>
      </c>
      <c r="B194" s="5">
        <f t="shared" ref="B194:B257" si="9">1+A194/100</f>
        <v>2.92</v>
      </c>
      <c r="C194" s="6">
        <f t="shared" ref="C194:C225" si="10">B195/B194-1</f>
        <v>3.424657534246478E-3</v>
      </c>
    </row>
    <row r="195" spans="1:3" x14ac:dyDescent="0.25">
      <c r="A195" s="3">
        <v>193</v>
      </c>
      <c r="B195" s="5">
        <f t="shared" si="9"/>
        <v>2.9299999999999997</v>
      </c>
      <c r="C195" s="6">
        <f t="shared" si="10"/>
        <v>3.4129692832765013E-3</v>
      </c>
    </row>
    <row r="196" spans="1:3" x14ac:dyDescent="0.25">
      <c r="A196" s="3">
        <v>194</v>
      </c>
      <c r="B196" s="5">
        <f t="shared" si="9"/>
        <v>2.94</v>
      </c>
      <c r="C196" s="6">
        <f t="shared" si="10"/>
        <v>3.4013605442178019E-3</v>
      </c>
    </row>
    <row r="197" spans="1:3" x14ac:dyDescent="0.25">
      <c r="A197" s="3">
        <v>195</v>
      </c>
      <c r="B197" s="5">
        <f t="shared" si="9"/>
        <v>2.95</v>
      </c>
      <c r="C197" s="6">
        <f t="shared" si="10"/>
        <v>3.3898305084745228E-3</v>
      </c>
    </row>
    <row r="198" spans="1:3" x14ac:dyDescent="0.25">
      <c r="A198" s="3">
        <v>196</v>
      </c>
      <c r="B198" s="5">
        <f t="shared" si="9"/>
        <v>2.96</v>
      </c>
      <c r="C198" s="6">
        <f t="shared" si="10"/>
        <v>3.3783783783782884E-3</v>
      </c>
    </row>
    <row r="199" spans="1:3" x14ac:dyDescent="0.25">
      <c r="A199" s="3">
        <v>197</v>
      </c>
      <c r="B199" s="5">
        <f t="shared" si="9"/>
        <v>2.9699999999999998</v>
      </c>
      <c r="C199" s="6">
        <f t="shared" si="10"/>
        <v>3.3670033670034627E-3</v>
      </c>
    </row>
    <row r="200" spans="1:3" x14ac:dyDescent="0.25">
      <c r="A200" s="3">
        <v>198</v>
      </c>
      <c r="B200" s="5">
        <f t="shared" si="9"/>
        <v>2.98</v>
      </c>
      <c r="C200" s="6">
        <f t="shared" si="10"/>
        <v>3.3557046979866278E-3</v>
      </c>
    </row>
    <row r="201" spans="1:3" x14ac:dyDescent="0.25">
      <c r="A201" s="3">
        <v>199</v>
      </c>
      <c r="B201" s="5">
        <f t="shared" si="9"/>
        <v>2.99</v>
      </c>
      <c r="C201" s="6">
        <f t="shared" si="10"/>
        <v>3.3444816053511683E-3</v>
      </c>
    </row>
    <row r="202" spans="1:3" x14ac:dyDescent="0.25">
      <c r="A202" s="3">
        <v>200</v>
      </c>
      <c r="B202" s="5">
        <f t="shared" si="9"/>
        <v>3</v>
      </c>
      <c r="C202" s="6"/>
    </row>
  </sheetData>
  <mergeCells count="1">
    <mergeCell ref="E2:H5"/>
  </mergeCells>
  <phoneticPr fontId="2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2"/>
  <sheetViews>
    <sheetView tabSelected="1" zoomScale="90" workbookViewId="0">
      <pane ySplit="1" topLeftCell="A2" activePane="bottomLeft" state="frozen"/>
      <selection pane="bottomLeft"/>
    </sheetView>
  </sheetViews>
  <sheetFormatPr defaultRowHeight="14" x14ac:dyDescent="0.25"/>
  <cols>
    <col min="1" max="2" width="14" customWidth="1"/>
    <col min="3" max="3" width="16" customWidth="1"/>
    <col min="5" max="8" width="18" customWidth="1"/>
  </cols>
  <sheetData>
    <row r="1" spans="1:8" ht="28" customHeight="1" x14ac:dyDescent="0.25">
      <c r="A1" s="1" t="s">
        <v>57</v>
      </c>
      <c r="B1" s="1" t="s">
        <v>50</v>
      </c>
      <c r="C1" s="1" t="s">
        <v>51</v>
      </c>
      <c r="E1" s="4" t="s">
        <v>31</v>
      </c>
    </row>
    <row r="2" spans="1:8" x14ac:dyDescent="0.25">
      <c r="A2" s="3">
        <v>0</v>
      </c>
      <c r="B2" s="5">
        <f>1+MIN(A2,100)/100*参数!$B$7/100</f>
        <v>1</v>
      </c>
      <c r="C2" s="6">
        <f t="shared" ref="C2:C33" si="0">B3/B2-1</f>
        <v>1.0000000000000009E-2</v>
      </c>
      <c r="E2" s="7" t="s">
        <v>58</v>
      </c>
      <c r="F2" s="8"/>
      <c r="G2" s="8"/>
      <c r="H2" s="8"/>
    </row>
    <row r="3" spans="1:8" x14ac:dyDescent="0.25">
      <c r="A3" s="3">
        <v>1</v>
      </c>
      <c r="B3" s="5">
        <f>1+MIN(A3,100)/100*参数!$B$7/100</f>
        <v>1.01</v>
      </c>
      <c r="C3" s="6">
        <f t="shared" si="0"/>
        <v>9.9009900990099098E-3</v>
      </c>
      <c r="E3" s="8"/>
      <c r="F3" s="8"/>
      <c r="G3" s="8"/>
      <c r="H3" s="8"/>
    </row>
    <row r="4" spans="1:8" x14ac:dyDescent="0.25">
      <c r="A4" s="3">
        <v>2</v>
      </c>
      <c r="B4" s="5">
        <f>1+MIN(A4,100)/100*参数!$B$7/100</f>
        <v>1.02</v>
      </c>
      <c r="C4" s="6">
        <f t="shared" si="0"/>
        <v>9.8039215686274161E-3</v>
      </c>
      <c r="E4" s="8"/>
      <c r="F4" s="8"/>
      <c r="G4" s="8"/>
      <c r="H4" s="8"/>
    </row>
    <row r="5" spans="1:8" x14ac:dyDescent="0.25">
      <c r="A5" s="3">
        <v>3</v>
      </c>
      <c r="B5" s="5">
        <f>1+MIN(A5,100)/100*参数!$B$7/100</f>
        <v>1.03</v>
      </c>
      <c r="C5" s="6">
        <f t="shared" si="0"/>
        <v>9.7087378640776656E-3</v>
      </c>
      <c r="E5" s="8"/>
      <c r="F5" s="8"/>
      <c r="G5" s="8"/>
      <c r="H5" s="8"/>
    </row>
    <row r="6" spans="1:8" x14ac:dyDescent="0.25">
      <c r="A6" s="3">
        <v>4</v>
      </c>
      <c r="B6" s="5">
        <f>1+MIN(A6,100)/100*参数!$B$7/100</f>
        <v>1.04</v>
      </c>
      <c r="C6" s="6">
        <f t="shared" si="0"/>
        <v>9.6153846153845812E-3</v>
      </c>
    </row>
    <row r="7" spans="1:8" x14ac:dyDescent="0.25">
      <c r="A7" s="3">
        <v>5</v>
      </c>
      <c r="B7" s="5">
        <f>1+MIN(A7,100)/100*参数!$B$7/100</f>
        <v>1.05</v>
      </c>
      <c r="C7" s="6">
        <f t="shared" si="0"/>
        <v>9.52380952380949E-3</v>
      </c>
    </row>
    <row r="8" spans="1:8" x14ac:dyDescent="0.25">
      <c r="A8" s="3">
        <v>6</v>
      </c>
      <c r="B8" s="5">
        <f>1+MIN(A8,100)/100*参数!$B$7/100</f>
        <v>1.06</v>
      </c>
      <c r="C8" s="6">
        <f t="shared" si="0"/>
        <v>9.4339622641510523E-3</v>
      </c>
    </row>
    <row r="9" spans="1:8" x14ac:dyDescent="0.25">
      <c r="A9" s="3">
        <v>7</v>
      </c>
      <c r="B9" s="5">
        <f>1+MIN(A9,100)/100*参数!$B$7/100</f>
        <v>1.07</v>
      </c>
      <c r="C9" s="6">
        <f t="shared" si="0"/>
        <v>9.3457943925234765E-3</v>
      </c>
    </row>
    <row r="10" spans="1:8" x14ac:dyDescent="0.25">
      <c r="A10" s="3">
        <v>8</v>
      </c>
      <c r="B10" s="5">
        <f>1+MIN(A10,100)/100*参数!$B$7/100</f>
        <v>1.08</v>
      </c>
      <c r="C10" s="6">
        <f t="shared" si="0"/>
        <v>9.2592592592593004E-3</v>
      </c>
    </row>
    <row r="11" spans="1:8" x14ac:dyDescent="0.25">
      <c r="A11" s="3">
        <v>9</v>
      </c>
      <c r="B11" s="5">
        <f>1+MIN(A11,100)/100*参数!$B$7/100</f>
        <v>1.0900000000000001</v>
      </c>
      <c r="C11" s="6">
        <f t="shared" si="0"/>
        <v>9.1743119266054496E-3</v>
      </c>
    </row>
    <row r="12" spans="1:8" x14ac:dyDescent="0.25">
      <c r="A12" s="3">
        <v>10</v>
      </c>
      <c r="B12" s="5">
        <f>1+MIN(A12,100)/100*参数!$B$7/100</f>
        <v>1.1000000000000001</v>
      </c>
      <c r="C12" s="6">
        <f t="shared" si="0"/>
        <v>9.0909090909090384E-3</v>
      </c>
    </row>
    <row r="13" spans="1:8" x14ac:dyDescent="0.25">
      <c r="A13" s="3">
        <v>11</v>
      </c>
      <c r="B13" s="5">
        <f>1+MIN(A13,100)/100*参数!$B$7/100</f>
        <v>1.1100000000000001</v>
      </c>
      <c r="C13" s="6">
        <f t="shared" si="0"/>
        <v>9.009009009008917E-3</v>
      </c>
    </row>
    <row r="14" spans="1:8" x14ac:dyDescent="0.25">
      <c r="A14" s="3">
        <v>12</v>
      </c>
      <c r="B14" s="5">
        <f>1+MIN(A14,100)/100*参数!$B$7/100</f>
        <v>1.1200000000000001</v>
      </c>
      <c r="C14" s="6">
        <f t="shared" si="0"/>
        <v>8.9285714285711748E-3</v>
      </c>
    </row>
    <row r="15" spans="1:8" x14ac:dyDescent="0.25">
      <c r="A15" s="3">
        <v>13</v>
      </c>
      <c r="B15" s="5">
        <f>1+MIN(A15,100)/100*参数!$B$7/100</f>
        <v>1.1299999999999999</v>
      </c>
      <c r="C15" s="6">
        <f t="shared" si="0"/>
        <v>8.8495575221241296E-3</v>
      </c>
    </row>
    <row r="16" spans="1:8" x14ac:dyDescent="0.25">
      <c r="A16" s="3">
        <v>14</v>
      </c>
      <c r="B16" s="5">
        <f>1+MIN(A16,100)/100*参数!$B$7/100</f>
        <v>1.1400000000000001</v>
      </c>
      <c r="C16" s="6">
        <f t="shared" si="0"/>
        <v>8.7719298245612087E-3</v>
      </c>
    </row>
    <row r="17" spans="1:3" x14ac:dyDescent="0.25">
      <c r="A17" s="3">
        <v>15</v>
      </c>
      <c r="B17" s="5">
        <f>1+MIN(A17,100)/100*参数!$B$7/100</f>
        <v>1.1499999999999999</v>
      </c>
      <c r="C17" s="6">
        <f t="shared" si="0"/>
        <v>8.6956521739129933E-3</v>
      </c>
    </row>
    <row r="18" spans="1:3" x14ac:dyDescent="0.25">
      <c r="A18" s="3">
        <v>16</v>
      </c>
      <c r="B18" s="5">
        <f>1+MIN(A18,100)/100*参数!$B$7/100</f>
        <v>1.1599999999999999</v>
      </c>
      <c r="C18" s="6">
        <f t="shared" si="0"/>
        <v>8.6206896551723755E-3</v>
      </c>
    </row>
    <row r="19" spans="1:3" x14ac:dyDescent="0.25">
      <c r="A19" s="3">
        <v>17</v>
      </c>
      <c r="B19" s="5">
        <f>1+MIN(A19,100)/100*参数!$B$7/100</f>
        <v>1.17</v>
      </c>
      <c r="C19" s="6">
        <f t="shared" si="0"/>
        <v>8.5470085470085166E-3</v>
      </c>
    </row>
    <row r="20" spans="1:3" x14ac:dyDescent="0.25">
      <c r="A20" s="3">
        <v>18</v>
      </c>
      <c r="B20" s="5">
        <f>1+MIN(A20,100)/100*参数!$B$7/100</f>
        <v>1.18</v>
      </c>
      <c r="C20" s="6">
        <f t="shared" si="0"/>
        <v>8.4745762711864181E-3</v>
      </c>
    </row>
    <row r="21" spans="1:3" x14ac:dyDescent="0.25">
      <c r="A21" s="3">
        <v>19</v>
      </c>
      <c r="B21" s="5">
        <f>1+MIN(A21,100)/100*参数!$B$7/100</f>
        <v>1.19</v>
      </c>
      <c r="C21" s="6">
        <f t="shared" si="0"/>
        <v>8.4033613445377853E-3</v>
      </c>
    </row>
    <row r="22" spans="1:3" x14ac:dyDescent="0.25">
      <c r="A22" s="3">
        <v>20</v>
      </c>
      <c r="B22" s="5">
        <f>1+MIN(A22,100)/100*参数!$B$7/100</f>
        <v>1.2</v>
      </c>
      <c r="C22" s="6">
        <f t="shared" si="0"/>
        <v>8.3333333333333037E-3</v>
      </c>
    </row>
    <row r="23" spans="1:3" x14ac:dyDescent="0.25">
      <c r="A23" s="3">
        <v>21</v>
      </c>
      <c r="B23" s="5">
        <f>1+MIN(A23,100)/100*参数!$B$7/100</f>
        <v>1.21</v>
      </c>
      <c r="C23" s="6">
        <f t="shared" si="0"/>
        <v>8.2644628099173278E-3</v>
      </c>
    </row>
    <row r="24" spans="1:3" x14ac:dyDescent="0.25">
      <c r="A24" s="3">
        <v>22</v>
      </c>
      <c r="B24" s="5">
        <f>1+MIN(A24,100)/100*参数!$B$7/100</f>
        <v>1.22</v>
      </c>
      <c r="C24" s="6">
        <f t="shared" si="0"/>
        <v>8.1967213114753079E-3</v>
      </c>
    </row>
    <row r="25" spans="1:3" x14ac:dyDescent="0.25">
      <c r="A25" s="3">
        <v>23</v>
      </c>
      <c r="B25" s="5">
        <f>1+MIN(A25,100)/100*参数!$B$7/100</f>
        <v>1.23</v>
      </c>
      <c r="C25" s="6">
        <f t="shared" si="0"/>
        <v>8.1300813008129413E-3</v>
      </c>
    </row>
    <row r="26" spans="1:3" x14ac:dyDescent="0.25">
      <c r="A26" s="3">
        <v>24</v>
      </c>
      <c r="B26" s="5">
        <f>1+MIN(A26,100)/100*参数!$B$7/100</f>
        <v>1.24</v>
      </c>
      <c r="C26" s="6">
        <f t="shared" si="0"/>
        <v>8.0645161290322509E-3</v>
      </c>
    </row>
    <row r="27" spans="1:3" x14ac:dyDescent="0.25">
      <c r="A27" s="3">
        <v>25</v>
      </c>
      <c r="B27" s="5">
        <f>1+MIN(A27,100)/100*参数!$B$7/100</f>
        <v>1.25</v>
      </c>
      <c r="C27" s="6">
        <f t="shared" si="0"/>
        <v>8.0000000000000071E-3</v>
      </c>
    </row>
    <row r="28" spans="1:3" x14ac:dyDescent="0.25">
      <c r="A28" s="3">
        <v>26</v>
      </c>
      <c r="B28" s="5">
        <f>1+MIN(A28,100)/100*参数!$B$7/100</f>
        <v>1.26</v>
      </c>
      <c r="C28" s="6">
        <f t="shared" si="0"/>
        <v>7.9365079365079083E-3</v>
      </c>
    </row>
    <row r="29" spans="1:3" x14ac:dyDescent="0.25">
      <c r="A29" s="3">
        <v>27</v>
      </c>
      <c r="B29" s="5">
        <f>1+MIN(A29,100)/100*参数!$B$7/100</f>
        <v>1.27</v>
      </c>
      <c r="C29" s="6">
        <f t="shared" si="0"/>
        <v>7.8740157480314821E-3</v>
      </c>
    </row>
    <row r="30" spans="1:3" x14ac:dyDescent="0.25">
      <c r="A30" s="3">
        <v>28</v>
      </c>
      <c r="B30" s="5">
        <f>1+MIN(A30,100)/100*参数!$B$7/100</f>
        <v>1.28</v>
      </c>
      <c r="C30" s="6">
        <f t="shared" si="0"/>
        <v>7.8125E-3</v>
      </c>
    </row>
    <row r="31" spans="1:3" x14ac:dyDescent="0.25">
      <c r="A31" s="3">
        <v>29</v>
      </c>
      <c r="B31" s="5">
        <f>1+MIN(A31,100)/100*参数!$B$7/100</f>
        <v>1.29</v>
      </c>
      <c r="C31" s="6">
        <f t="shared" si="0"/>
        <v>7.7519379844961378E-3</v>
      </c>
    </row>
    <row r="32" spans="1:3" x14ac:dyDescent="0.25">
      <c r="A32" s="3">
        <v>30</v>
      </c>
      <c r="B32" s="5">
        <f>1+MIN(A32,100)/100*参数!$B$7/100</f>
        <v>1.3</v>
      </c>
      <c r="C32" s="6">
        <f t="shared" si="0"/>
        <v>7.692307692307665E-3</v>
      </c>
    </row>
    <row r="33" spans="1:3" x14ac:dyDescent="0.25">
      <c r="A33" s="3">
        <v>31</v>
      </c>
      <c r="B33" s="5">
        <f>1+MIN(A33,100)/100*参数!$B$7/100</f>
        <v>1.31</v>
      </c>
      <c r="C33" s="6">
        <f t="shared" si="0"/>
        <v>7.6335877862594437E-3</v>
      </c>
    </row>
    <row r="34" spans="1:3" x14ac:dyDescent="0.25">
      <c r="A34" s="3">
        <v>32</v>
      </c>
      <c r="B34" s="5">
        <f>1+MIN(A34,100)/100*参数!$B$7/100</f>
        <v>1.32</v>
      </c>
      <c r="C34" s="6">
        <f t="shared" ref="C34:C65" si="1">B35/B34-1</f>
        <v>7.575757575757569E-3</v>
      </c>
    </row>
    <row r="35" spans="1:3" x14ac:dyDescent="0.25">
      <c r="A35" s="3">
        <v>33</v>
      </c>
      <c r="B35" s="5">
        <f>1+MIN(A35,100)/100*参数!$B$7/100</f>
        <v>1.33</v>
      </c>
      <c r="C35" s="6">
        <f t="shared" si="1"/>
        <v>7.5187969924812581E-3</v>
      </c>
    </row>
    <row r="36" spans="1:3" x14ac:dyDescent="0.25">
      <c r="A36" s="3">
        <v>34</v>
      </c>
      <c r="B36" s="5">
        <f>1+MIN(A36,100)/100*参数!$B$7/100</f>
        <v>1.34</v>
      </c>
      <c r="C36" s="6">
        <f t="shared" si="1"/>
        <v>7.4626865671640896E-3</v>
      </c>
    </row>
    <row r="37" spans="1:3" x14ac:dyDescent="0.25">
      <c r="A37" s="3">
        <v>35</v>
      </c>
      <c r="B37" s="5">
        <f>1+MIN(A37,100)/100*参数!$B$7/100</f>
        <v>1.35</v>
      </c>
      <c r="C37" s="6">
        <f t="shared" si="1"/>
        <v>7.4074074074073071E-3</v>
      </c>
    </row>
    <row r="38" spans="1:3" x14ac:dyDescent="0.25">
      <c r="A38" s="3">
        <v>36</v>
      </c>
      <c r="B38" s="5">
        <f>1+MIN(A38,100)/100*参数!$B$7/100</f>
        <v>1.3599999999999999</v>
      </c>
      <c r="C38" s="6">
        <f t="shared" si="1"/>
        <v>7.3529411764707842E-3</v>
      </c>
    </row>
    <row r="39" spans="1:3" x14ac:dyDescent="0.25">
      <c r="A39" s="3">
        <v>37</v>
      </c>
      <c r="B39" s="5">
        <f>1+MIN(A39,100)/100*参数!$B$7/100</f>
        <v>1.37</v>
      </c>
      <c r="C39" s="6">
        <f t="shared" si="1"/>
        <v>7.2992700729925808E-3</v>
      </c>
    </row>
    <row r="40" spans="1:3" x14ac:dyDescent="0.25">
      <c r="A40" s="3">
        <v>38</v>
      </c>
      <c r="B40" s="5">
        <f>1+MIN(A40,100)/100*参数!$B$7/100</f>
        <v>1.38</v>
      </c>
      <c r="C40" s="6">
        <f t="shared" si="1"/>
        <v>7.2463768115944571E-3</v>
      </c>
    </row>
    <row r="41" spans="1:3" x14ac:dyDescent="0.25">
      <c r="A41" s="3">
        <v>39</v>
      </c>
      <c r="B41" s="5">
        <f>1+MIN(A41,100)/100*参数!$B$7/100</f>
        <v>1.3900000000000001</v>
      </c>
      <c r="C41" s="6">
        <f t="shared" si="1"/>
        <v>7.194244604316502E-3</v>
      </c>
    </row>
    <row r="42" spans="1:3" x14ac:dyDescent="0.25">
      <c r="A42" s="3">
        <v>40</v>
      </c>
      <c r="B42" s="5">
        <f>1+MIN(A42,100)/100*参数!$B$7/100</f>
        <v>1.4</v>
      </c>
      <c r="C42" s="6">
        <f t="shared" si="1"/>
        <v>7.1428571428571175E-3</v>
      </c>
    </row>
    <row r="43" spans="1:3" x14ac:dyDescent="0.25">
      <c r="A43" s="3">
        <v>41</v>
      </c>
      <c r="B43" s="5">
        <f>1+MIN(A43,100)/100*参数!$B$7/100</f>
        <v>1.41</v>
      </c>
      <c r="C43" s="6">
        <f t="shared" si="1"/>
        <v>7.0921985815601829E-3</v>
      </c>
    </row>
    <row r="44" spans="1:3" x14ac:dyDescent="0.25">
      <c r="A44" s="3">
        <v>42</v>
      </c>
      <c r="B44" s="5">
        <f>1+MIN(A44,100)/100*参数!$B$7/100</f>
        <v>1.42</v>
      </c>
      <c r="C44" s="6">
        <f t="shared" si="1"/>
        <v>7.0422535211267512E-3</v>
      </c>
    </row>
    <row r="45" spans="1:3" x14ac:dyDescent="0.25">
      <c r="A45" s="3">
        <v>43</v>
      </c>
      <c r="B45" s="5">
        <f>1+MIN(A45,100)/100*参数!$B$7/100</f>
        <v>1.43</v>
      </c>
      <c r="C45" s="6">
        <f t="shared" si="1"/>
        <v>6.9930069930070893E-3</v>
      </c>
    </row>
    <row r="46" spans="1:3" x14ac:dyDescent="0.25">
      <c r="A46" s="3">
        <v>44</v>
      </c>
      <c r="B46" s="5">
        <f>1+MIN(A46,100)/100*参数!$B$7/100</f>
        <v>1.44</v>
      </c>
      <c r="C46" s="6">
        <f t="shared" si="1"/>
        <v>6.9444444444444198E-3</v>
      </c>
    </row>
    <row r="47" spans="1:3" x14ac:dyDescent="0.25">
      <c r="A47" s="3">
        <v>45</v>
      </c>
      <c r="B47" s="5">
        <f>1+MIN(A47,100)/100*参数!$B$7/100</f>
        <v>1.45</v>
      </c>
      <c r="C47" s="6">
        <f t="shared" si="1"/>
        <v>6.8965517241379448E-3</v>
      </c>
    </row>
    <row r="48" spans="1:3" x14ac:dyDescent="0.25">
      <c r="A48" s="3">
        <v>46</v>
      </c>
      <c r="B48" s="5">
        <f>1+MIN(A48,100)/100*参数!$B$7/100</f>
        <v>1.46</v>
      </c>
      <c r="C48" s="6">
        <f t="shared" si="1"/>
        <v>6.8493150684931781E-3</v>
      </c>
    </row>
    <row r="49" spans="1:3" x14ac:dyDescent="0.25">
      <c r="A49" s="3">
        <v>47</v>
      </c>
      <c r="B49" s="5">
        <f>1+MIN(A49,100)/100*参数!$B$7/100</f>
        <v>1.47</v>
      </c>
      <c r="C49" s="6">
        <f t="shared" si="1"/>
        <v>6.8027210884353817E-3</v>
      </c>
    </row>
    <row r="50" spans="1:3" x14ac:dyDescent="0.25">
      <c r="A50" s="3">
        <v>48</v>
      </c>
      <c r="B50" s="5">
        <f>1+MIN(A50,100)/100*参数!$B$7/100</f>
        <v>1.48</v>
      </c>
      <c r="C50" s="6">
        <f t="shared" si="1"/>
        <v>6.7567567567567988E-3</v>
      </c>
    </row>
    <row r="51" spans="1:3" x14ac:dyDescent="0.25">
      <c r="A51" s="3">
        <v>49</v>
      </c>
      <c r="B51" s="5">
        <f>1+MIN(A51,100)/100*参数!$B$7/100</f>
        <v>1.49</v>
      </c>
      <c r="C51" s="6">
        <f t="shared" si="1"/>
        <v>6.7114093959732557E-3</v>
      </c>
    </row>
    <row r="52" spans="1:3" x14ac:dyDescent="0.25">
      <c r="A52" s="3">
        <v>50</v>
      </c>
      <c r="B52" s="5">
        <f>1+MIN(A52,100)/100*参数!$B$7/100</f>
        <v>1.5</v>
      </c>
      <c r="C52" s="6">
        <f t="shared" si="1"/>
        <v>6.6666666666665986E-3</v>
      </c>
    </row>
    <row r="53" spans="1:3" x14ac:dyDescent="0.25">
      <c r="A53" s="3">
        <v>51</v>
      </c>
      <c r="B53" s="5">
        <f>1+MIN(A53,100)/100*参数!$B$7/100</f>
        <v>1.51</v>
      </c>
      <c r="C53" s="6">
        <f t="shared" si="1"/>
        <v>6.6225165562914245E-3</v>
      </c>
    </row>
    <row r="54" spans="1:3" x14ac:dyDescent="0.25">
      <c r="A54" s="3">
        <v>52</v>
      </c>
      <c r="B54" s="5">
        <f>1+MIN(A54,100)/100*参数!$B$7/100</f>
        <v>1.52</v>
      </c>
      <c r="C54" s="6">
        <f t="shared" si="1"/>
        <v>6.5789473684210176E-3</v>
      </c>
    </row>
    <row r="55" spans="1:3" x14ac:dyDescent="0.25">
      <c r="A55" s="3">
        <v>53</v>
      </c>
      <c r="B55" s="5">
        <f>1+MIN(A55,100)/100*参数!$B$7/100</f>
        <v>1.53</v>
      </c>
      <c r="C55" s="6">
        <f t="shared" si="1"/>
        <v>6.5359477124182774E-3</v>
      </c>
    </row>
    <row r="56" spans="1:3" x14ac:dyDescent="0.25">
      <c r="A56" s="3">
        <v>54</v>
      </c>
      <c r="B56" s="5">
        <f>1+MIN(A56,100)/100*参数!$B$7/100</f>
        <v>1.54</v>
      </c>
      <c r="C56" s="6">
        <f t="shared" si="1"/>
        <v>6.4935064935065512E-3</v>
      </c>
    </row>
    <row r="57" spans="1:3" x14ac:dyDescent="0.25">
      <c r="A57" s="3">
        <v>55</v>
      </c>
      <c r="B57" s="5">
        <f>1+MIN(A57,100)/100*参数!$B$7/100</f>
        <v>1.55</v>
      </c>
      <c r="C57" s="6">
        <f t="shared" si="1"/>
        <v>6.4516129032257119E-3</v>
      </c>
    </row>
    <row r="58" spans="1:3" x14ac:dyDescent="0.25">
      <c r="A58" s="3">
        <v>56</v>
      </c>
      <c r="B58" s="5">
        <f>1+MIN(A58,100)/100*参数!$B$7/100</f>
        <v>1.56</v>
      </c>
      <c r="C58" s="6">
        <f t="shared" si="1"/>
        <v>6.4102564102561654E-3</v>
      </c>
    </row>
    <row r="59" spans="1:3" x14ac:dyDescent="0.25">
      <c r="A59" s="3">
        <v>57</v>
      </c>
      <c r="B59" s="5">
        <f>1+MIN(A59,100)/100*参数!$B$7/100</f>
        <v>1.5699999999999998</v>
      </c>
      <c r="C59" s="6">
        <f t="shared" si="1"/>
        <v>6.3694267515925773E-3</v>
      </c>
    </row>
    <row r="60" spans="1:3" x14ac:dyDescent="0.25">
      <c r="A60" s="3">
        <v>58</v>
      </c>
      <c r="B60" s="5">
        <f>1+MIN(A60,100)/100*参数!$B$7/100</f>
        <v>1.58</v>
      </c>
      <c r="C60" s="6">
        <f t="shared" si="1"/>
        <v>6.3291139240504446E-3</v>
      </c>
    </row>
    <row r="61" spans="1:3" x14ac:dyDescent="0.25">
      <c r="A61" s="3">
        <v>59</v>
      </c>
      <c r="B61" s="5">
        <f>1+MIN(A61,100)/100*参数!$B$7/100</f>
        <v>1.5899999999999999</v>
      </c>
      <c r="C61" s="6">
        <f t="shared" si="1"/>
        <v>6.2893081761008496E-3</v>
      </c>
    </row>
    <row r="62" spans="1:3" x14ac:dyDescent="0.25">
      <c r="A62" s="3">
        <v>60</v>
      </c>
      <c r="B62" s="5">
        <f>1+MIN(A62,100)/100*参数!$B$7/100</f>
        <v>1.6</v>
      </c>
      <c r="C62" s="6">
        <f t="shared" si="1"/>
        <v>6.2499999999998668E-3</v>
      </c>
    </row>
    <row r="63" spans="1:3" x14ac:dyDescent="0.25">
      <c r="A63" s="3">
        <v>61</v>
      </c>
      <c r="B63" s="5">
        <f>1+MIN(A63,100)/100*参数!$B$7/100</f>
        <v>1.6099999999999999</v>
      </c>
      <c r="C63" s="6">
        <f t="shared" si="1"/>
        <v>6.2111801242237252E-3</v>
      </c>
    </row>
    <row r="64" spans="1:3" x14ac:dyDescent="0.25">
      <c r="A64" s="3">
        <v>62</v>
      </c>
      <c r="B64" s="5">
        <f>1+MIN(A64,100)/100*参数!$B$7/100</f>
        <v>1.62</v>
      </c>
      <c r="C64" s="6">
        <f t="shared" si="1"/>
        <v>6.1728395061726449E-3</v>
      </c>
    </row>
    <row r="65" spans="1:3" x14ac:dyDescent="0.25">
      <c r="A65" s="3">
        <v>63</v>
      </c>
      <c r="B65" s="5">
        <f>1+MIN(A65,100)/100*参数!$B$7/100</f>
        <v>1.63</v>
      </c>
      <c r="C65" s="6">
        <f t="shared" si="1"/>
        <v>6.1349693251535609E-3</v>
      </c>
    </row>
    <row r="66" spans="1:3" x14ac:dyDescent="0.25">
      <c r="A66" s="3">
        <v>64</v>
      </c>
      <c r="B66" s="5">
        <f>1+MIN(A66,100)/100*参数!$B$7/100</f>
        <v>1.6400000000000001</v>
      </c>
      <c r="C66" s="6">
        <f t="shared" ref="C66:C97" si="2">B67/B66-1</f>
        <v>6.0975609756095395E-3</v>
      </c>
    </row>
    <row r="67" spans="1:3" x14ac:dyDescent="0.25">
      <c r="A67" s="3">
        <v>65</v>
      </c>
      <c r="B67" s="5">
        <f>1+MIN(A67,100)/100*参数!$B$7/100</f>
        <v>1.65</v>
      </c>
      <c r="C67" s="6">
        <f t="shared" si="2"/>
        <v>6.0606060606060996E-3</v>
      </c>
    </row>
    <row r="68" spans="1:3" x14ac:dyDescent="0.25">
      <c r="A68" s="3">
        <v>66</v>
      </c>
      <c r="B68" s="5">
        <f>1+MIN(A68,100)/100*参数!$B$7/100</f>
        <v>1.6600000000000001</v>
      </c>
      <c r="C68" s="6">
        <f t="shared" si="2"/>
        <v>6.0240963855420215E-3</v>
      </c>
    </row>
    <row r="69" spans="1:3" x14ac:dyDescent="0.25">
      <c r="A69" s="3">
        <v>67</v>
      </c>
      <c r="B69" s="5">
        <f>1+MIN(A69,100)/100*参数!$B$7/100</f>
        <v>1.67</v>
      </c>
      <c r="C69" s="6">
        <f t="shared" si="2"/>
        <v>5.9880239520959666E-3</v>
      </c>
    </row>
    <row r="70" spans="1:3" x14ac:dyDescent="0.25">
      <c r="A70" s="3">
        <v>68</v>
      </c>
      <c r="B70" s="5">
        <f>1+MIN(A70,100)/100*参数!$B$7/100</f>
        <v>1.6800000000000002</v>
      </c>
      <c r="C70" s="6">
        <f t="shared" si="2"/>
        <v>5.9523809523809312E-3</v>
      </c>
    </row>
    <row r="71" spans="1:3" x14ac:dyDescent="0.25">
      <c r="A71" s="3">
        <v>69</v>
      </c>
      <c r="B71" s="5">
        <f>1+MIN(A71,100)/100*参数!$B$7/100</f>
        <v>1.69</v>
      </c>
      <c r="C71" s="6">
        <f t="shared" si="2"/>
        <v>5.9171597633136397E-3</v>
      </c>
    </row>
    <row r="72" spans="1:3" x14ac:dyDescent="0.25">
      <c r="A72" s="3">
        <v>70</v>
      </c>
      <c r="B72" s="5">
        <f>1+MIN(A72,100)/100*参数!$B$7/100</f>
        <v>1.7</v>
      </c>
      <c r="C72" s="6">
        <f t="shared" si="2"/>
        <v>5.8823529411764497E-3</v>
      </c>
    </row>
    <row r="73" spans="1:3" x14ac:dyDescent="0.25">
      <c r="A73" s="3">
        <v>71</v>
      </c>
      <c r="B73" s="5">
        <f>1+MIN(A73,100)/100*参数!$B$7/100</f>
        <v>1.71</v>
      </c>
      <c r="C73" s="6">
        <f t="shared" si="2"/>
        <v>5.8479532163742132E-3</v>
      </c>
    </row>
    <row r="74" spans="1:3" x14ac:dyDescent="0.25">
      <c r="A74" s="3">
        <v>72</v>
      </c>
      <c r="B74" s="5">
        <f>1+MIN(A74,100)/100*参数!$B$7/100</f>
        <v>1.72</v>
      </c>
      <c r="C74" s="6">
        <f t="shared" si="2"/>
        <v>5.8139534883721034E-3</v>
      </c>
    </row>
    <row r="75" spans="1:3" x14ac:dyDescent="0.25">
      <c r="A75" s="3">
        <v>73</v>
      </c>
      <c r="B75" s="5">
        <f>1+MIN(A75,100)/100*参数!$B$7/100</f>
        <v>1.73</v>
      </c>
      <c r="C75" s="6">
        <f t="shared" si="2"/>
        <v>5.7803468208093012E-3</v>
      </c>
    </row>
    <row r="76" spans="1:3" x14ac:dyDescent="0.25">
      <c r="A76" s="3">
        <v>74</v>
      </c>
      <c r="B76" s="5">
        <f>1+MIN(A76,100)/100*参数!$B$7/100</f>
        <v>1.74</v>
      </c>
      <c r="C76" s="6">
        <f t="shared" si="2"/>
        <v>5.7471264367816577E-3</v>
      </c>
    </row>
    <row r="77" spans="1:3" x14ac:dyDescent="0.25">
      <c r="A77" s="3">
        <v>75</v>
      </c>
      <c r="B77" s="5">
        <f>1+MIN(A77,100)/100*参数!$B$7/100</f>
        <v>1.75</v>
      </c>
      <c r="C77" s="6">
        <f t="shared" si="2"/>
        <v>5.7142857142857828E-3</v>
      </c>
    </row>
    <row r="78" spans="1:3" x14ac:dyDescent="0.25">
      <c r="A78" s="3">
        <v>76</v>
      </c>
      <c r="B78" s="5">
        <f>1+MIN(A78,100)/100*参数!$B$7/100</f>
        <v>1.76</v>
      </c>
      <c r="C78" s="6">
        <f t="shared" si="2"/>
        <v>5.6818181818181213E-3</v>
      </c>
    </row>
    <row r="79" spans="1:3" x14ac:dyDescent="0.25">
      <c r="A79" s="3">
        <v>77</v>
      </c>
      <c r="B79" s="5">
        <f>1+MIN(A79,100)/100*参数!$B$7/100</f>
        <v>1.77</v>
      </c>
      <c r="C79" s="6">
        <f t="shared" si="2"/>
        <v>5.6497175141243527E-3</v>
      </c>
    </row>
    <row r="80" spans="1:3" x14ac:dyDescent="0.25">
      <c r="A80" s="3">
        <v>78</v>
      </c>
      <c r="B80" s="5">
        <f>1+MIN(A80,100)/100*参数!$B$7/100</f>
        <v>1.78</v>
      </c>
      <c r="C80" s="6">
        <f t="shared" si="2"/>
        <v>5.6179775280897903E-3</v>
      </c>
    </row>
    <row r="81" spans="1:3" x14ac:dyDescent="0.25">
      <c r="A81" s="3">
        <v>79</v>
      </c>
      <c r="B81" s="5">
        <f>1+MIN(A81,100)/100*参数!$B$7/100</f>
        <v>1.79</v>
      </c>
      <c r="C81" s="6">
        <f t="shared" si="2"/>
        <v>5.5865921787709993E-3</v>
      </c>
    </row>
    <row r="82" spans="1:3" x14ac:dyDescent="0.25">
      <c r="A82" s="3">
        <v>80</v>
      </c>
      <c r="B82" s="5">
        <f>1+MIN(A82,100)/100*参数!$B$7/100</f>
        <v>1.8</v>
      </c>
      <c r="C82" s="6">
        <f t="shared" si="2"/>
        <v>5.5555555555555358E-3</v>
      </c>
    </row>
    <row r="83" spans="1:3" x14ac:dyDescent="0.25">
      <c r="A83" s="3">
        <v>81</v>
      </c>
      <c r="B83" s="5">
        <f>1+MIN(A83,100)/100*参数!$B$7/100</f>
        <v>1.81</v>
      </c>
      <c r="C83" s="6">
        <f t="shared" si="2"/>
        <v>5.5248618784529135E-3</v>
      </c>
    </row>
    <row r="84" spans="1:3" x14ac:dyDescent="0.25">
      <c r="A84" s="3">
        <v>82</v>
      </c>
      <c r="B84" s="5">
        <f>1+MIN(A84,100)/100*参数!$B$7/100</f>
        <v>1.8199999999999998</v>
      </c>
      <c r="C84" s="6">
        <f t="shared" si="2"/>
        <v>5.494505494505697E-3</v>
      </c>
    </row>
    <row r="85" spans="1:3" x14ac:dyDescent="0.25">
      <c r="A85" s="3">
        <v>83</v>
      </c>
      <c r="B85" s="5">
        <f>1+MIN(A85,100)/100*参数!$B$7/100</f>
        <v>1.83</v>
      </c>
      <c r="C85" s="6">
        <f t="shared" si="2"/>
        <v>5.4644808743167239E-3</v>
      </c>
    </row>
    <row r="86" spans="1:3" x14ac:dyDescent="0.25">
      <c r="A86" s="3">
        <v>84</v>
      </c>
      <c r="B86" s="5">
        <f>1+MIN(A86,100)/100*参数!$B$7/100</f>
        <v>1.8399999999999999</v>
      </c>
      <c r="C86" s="6">
        <f t="shared" si="2"/>
        <v>5.4347826086957873E-3</v>
      </c>
    </row>
    <row r="87" spans="1:3" x14ac:dyDescent="0.25">
      <c r="A87" s="3">
        <v>85</v>
      </c>
      <c r="B87" s="5">
        <f>1+MIN(A87,100)/100*参数!$B$7/100</f>
        <v>1.85</v>
      </c>
      <c r="C87" s="6">
        <f t="shared" si="2"/>
        <v>5.4054054054053502E-3</v>
      </c>
    </row>
    <row r="88" spans="1:3" x14ac:dyDescent="0.25">
      <c r="A88" s="3">
        <v>86</v>
      </c>
      <c r="B88" s="5">
        <f>1+MIN(A88,100)/100*参数!$B$7/100</f>
        <v>1.8599999999999999</v>
      </c>
      <c r="C88" s="6">
        <f t="shared" si="2"/>
        <v>5.3763440860217226E-3</v>
      </c>
    </row>
    <row r="89" spans="1:3" x14ac:dyDescent="0.25">
      <c r="A89" s="3">
        <v>87</v>
      </c>
      <c r="B89" s="5">
        <f>1+MIN(A89,100)/100*参数!$B$7/100</f>
        <v>1.87</v>
      </c>
      <c r="C89" s="6">
        <f t="shared" si="2"/>
        <v>5.3475935828874999E-3</v>
      </c>
    </row>
    <row r="90" spans="1:3" x14ac:dyDescent="0.25">
      <c r="A90" s="3">
        <v>88</v>
      </c>
      <c r="B90" s="5">
        <f>1+MIN(A90,100)/100*参数!$B$7/100</f>
        <v>1.88</v>
      </c>
      <c r="C90" s="6">
        <f t="shared" si="2"/>
        <v>5.3191489361703592E-3</v>
      </c>
    </row>
    <row r="91" spans="1:3" x14ac:dyDescent="0.25">
      <c r="A91" s="3">
        <v>89</v>
      </c>
      <c r="B91" s="5">
        <f>1+MIN(A91,100)/100*参数!$B$7/100</f>
        <v>1.8900000000000001</v>
      </c>
      <c r="C91" s="6">
        <f t="shared" si="2"/>
        <v>5.2910052910051242E-3</v>
      </c>
    </row>
    <row r="92" spans="1:3" x14ac:dyDescent="0.25">
      <c r="A92" s="3">
        <v>90</v>
      </c>
      <c r="B92" s="5">
        <f>1+MIN(A92,100)/100*参数!$B$7/100</f>
        <v>1.9</v>
      </c>
      <c r="C92" s="6">
        <f t="shared" si="2"/>
        <v>5.2631578947368585E-3</v>
      </c>
    </row>
    <row r="93" spans="1:3" x14ac:dyDescent="0.25">
      <c r="A93" s="3">
        <v>91</v>
      </c>
      <c r="B93" s="5">
        <f>1+MIN(A93,100)/100*参数!$B$7/100</f>
        <v>1.9100000000000001</v>
      </c>
      <c r="C93" s="6">
        <f t="shared" si="2"/>
        <v>5.2356020942407877E-3</v>
      </c>
    </row>
    <row r="94" spans="1:3" x14ac:dyDescent="0.25">
      <c r="A94" s="3">
        <v>92</v>
      </c>
      <c r="B94" s="5">
        <f>1+MIN(A94,100)/100*参数!$B$7/100</f>
        <v>1.92</v>
      </c>
      <c r="C94" s="6">
        <f t="shared" si="2"/>
        <v>5.2083333333334814E-3</v>
      </c>
    </row>
    <row r="95" spans="1:3" x14ac:dyDescent="0.25">
      <c r="A95" s="3">
        <v>93</v>
      </c>
      <c r="B95" s="5">
        <f>1+MIN(A95,100)/100*参数!$B$7/100</f>
        <v>1.9300000000000002</v>
      </c>
      <c r="C95" s="6">
        <f t="shared" si="2"/>
        <v>5.1813471502588637E-3</v>
      </c>
    </row>
    <row r="96" spans="1:3" x14ac:dyDescent="0.25">
      <c r="A96" s="3">
        <v>94</v>
      </c>
      <c r="B96" s="5">
        <f>1+MIN(A96,100)/100*参数!$B$7/100</f>
        <v>1.94</v>
      </c>
      <c r="C96" s="6">
        <f t="shared" si="2"/>
        <v>5.1546391752577136E-3</v>
      </c>
    </row>
    <row r="97" spans="1:3" x14ac:dyDescent="0.25">
      <c r="A97" s="3">
        <v>95</v>
      </c>
      <c r="B97" s="5">
        <f>1+MIN(A97,100)/100*参数!$B$7/100</f>
        <v>1.95</v>
      </c>
      <c r="C97" s="6">
        <f t="shared" si="2"/>
        <v>5.12820512820511E-3</v>
      </c>
    </row>
    <row r="98" spans="1:3" x14ac:dyDescent="0.25">
      <c r="A98" s="3">
        <v>96</v>
      </c>
      <c r="B98" s="5">
        <f>1+MIN(A98,100)/100*参数!$B$7/100</f>
        <v>1.96</v>
      </c>
      <c r="C98" s="6">
        <f t="shared" ref="C98:C129" si="3">B99/B98-1</f>
        <v>5.1020408163264808E-3</v>
      </c>
    </row>
    <row r="99" spans="1:3" x14ac:dyDescent="0.25">
      <c r="A99" s="3">
        <v>97</v>
      </c>
      <c r="B99" s="5">
        <f>1+MIN(A99,100)/100*参数!$B$7/100</f>
        <v>1.97</v>
      </c>
      <c r="C99" s="6">
        <f t="shared" si="3"/>
        <v>5.0761421319795996E-3</v>
      </c>
    </row>
    <row r="100" spans="1:3" x14ac:dyDescent="0.25">
      <c r="A100" s="3">
        <v>98</v>
      </c>
      <c r="B100" s="5">
        <f>1+MIN(A100,100)/100*参数!$B$7/100</f>
        <v>1.98</v>
      </c>
      <c r="C100" s="6">
        <f t="shared" si="3"/>
        <v>5.050505050504972E-3</v>
      </c>
    </row>
    <row r="101" spans="1:3" x14ac:dyDescent="0.25">
      <c r="A101" s="3">
        <v>99</v>
      </c>
      <c r="B101" s="5">
        <f>1+MIN(A101,100)/100*参数!$B$7/100</f>
        <v>1.99</v>
      </c>
      <c r="C101" s="6">
        <f t="shared" si="3"/>
        <v>5.0251256281406143E-3</v>
      </c>
    </row>
    <row r="102" spans="1:3" x14ac:dyDescent="0.25">
      <c r="A102" s="3">
        <v>100</v>
      </c>
      <c r="B102" s="5">
        <f>1+MIN(A102,100)/100*参数!$B$7/100</f>
        <v>2</v>
      </c>
      <c r="C102" s="6"/>
    </row>
  </sheetData>
  <mergeCells count="1">
    <mergeCell ref="E2:H5"/>
  </mergeCells>
  <phoneticPr fontId="2" type="noConversion"/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02"/>
  <sheetViews>
    <sheetView zoomScale="90" workbookViewId="0">
      <pane ySplit="1" topLeftCell="A2" activePane="bottomLeft" state="frozen"/>
      <selection pane="bottomLeft"/>
    </sheetView>
  </sheetViews>
  <sheetFormatPr defaultRowHeight="14" x14ac:dyDescent="0.25"/>
  <cols>
    <col min="1" max="2" width="14" customWidth="1"/>
    <col min="3" max="3" width="16" customWidth="1"/>
    <col min="5" max="8" width="18" customWidth="1"/>
  </cols>
  <sheetData>
    <row r="1" spans="1:8" ht="28" customHeight="1" x14ac:dyDescent="0.25">
      <c r="A1" s="1" t="s">
        <v>59</v>
      </c>
      <c r="B1" s="1" t="s">
        <v>50</v>
      </c>
      <c r="C1" s="1" t="s">
        <v>51</v>
      </c>
      <c r="E1" s="4" t="s">
        <v>31</v>
      </c>
    </row>
    <row r="2" spans="1:8" x14ac:dyDescent="0.25">
      <c r="A2" s="3">
        <v>0</v>
      </c>
      <c r="B2" s="5">
        <f>1+参数!$B$8/100*A2/100</f>
        <v>1</v>
      </c>
      <c r="C2" s="6">
        <f t="shared" ref="C2:C65" si="0">B3/B2-1</f>
        <v>6.9999999999998952E-3</v>
      </c>
      <c r="E2" s="7" t="s">
        <v>60</v>
      </c>
      <c r="F2" s="8"/>
      <c r="G2" s="8"/>
      <c r="H2" s="8"/>
    </row>
    <row r="3" spans="1:8" x14ac:dyDescent="0.25">
      <c r="A3" s="3">
        <v>1</v>
      </c>
      <c r="B3" s="5">
        <f>1+参数!$B$8/100*A3/100</f>
        <v>1.0069999999999999</v>
      </c>
      <c r="C3" s="6">
        <f t="shared" si="0"/>
        <v>6.9513406156902491E-3</v>
      </c>
      <c r="E3" s="8"/>
      <c r="F3" s="8"/>
      <c r="G3" s="8"/>
      <c r="H3" s="8"/>
    </row>
    <row r="4" spans="1:8" x14ac:dyDescent="0.25">
      <c r="A4" s="3">
        <v>2</v>
      </c>
      <c r="B4" s="5">
        <f>1+参数!$B$8/100*A4/100</f>
        <v>1.014</v>
      </c>
      <c r="C4" s="6">
        <f t="shared" si="0"/>
        <v>6.9033530571991353E-3</v>
      </c>
      <c r="E4" s="8"/>
      <c r="F4" s="8"/>
      <c r="G4" s="8"/>
      <c r="H4" s="8"/>
    </row>
    <row r="5" spans="1:8" x14ac:dyDescent="0.25">
      <c r="A5" s="3">
        <v>3</v>
      </c>
      <c r="B5" s="5">
        <f>1+参数!$B$8/100*A5/100</f>
        <v>1.0209999999999999</v>
      </c>
      <c r="C5" s="6">
        <f t="shared" si="0"/>
        <v>6.8560235063663821E-3</v>
      </c>
      <c r="E5" s="8"/>
      <c r="F5" s="8"/>
      <c r="G5" s="8"/>
      <c r="H5" s="8"/>
    </row>
    <row r="6" spans="1:8" x14ac:dyDescent="0.25">
      <c r="A6" s="3">
        <v>4</v>
      </c>
      <c r="B6" s="5">
        <f>1+参数!$B$8/100*A6/100</f>
        <v>1.028</v>
      </c>
      <c r="C6" s="6">
        <f t="shared" si="0"/>
        <v>6.809338521400754E-3</v>
      </c>
    </row>
    <row r="7" spans="1:8" x14ac:dyDescent="0.25">
      <c r="A7" s="3">
        <v>5</v>
      </c>
      <c r="B7" s="5">
        <f>1+参数!$B$8/100*A7/100</f>
        <v>1.0349999999999999</v>
      </c>
      <c r="C7" s="6">
        <f t="shared" si="0"/>
        <v>6.763285024154797E-3</v>
      </c>
    </row>
    <row r="8" spans="1:8" x14ac:dyDescent="0.25">
      <c r="A8" s="3">
        <v>6</v>
      </c>
      <c r="B8" s="5">
        <f>1+参数!$B$8/100*A8/100</f>
        <v>1.042</v>
      </c>
      <c r="C8" s="6">
        <f t="shared" si="0"/>
        <v>6.7178502879077229E-3</v>
      </c>
    </row>
    <row r="9" spans="1:8" x14ac:dyDescent="0.25">
      <c r="A9" s="3">
        <v>7</v>
      </c>
      <c r="B9" s="5">
        <f>1+参数!$B$8/100*A9/100</f>
        <v>1.0489999999999999</v>
      </c>
      <c r="C9" s="6">
        <f t="shared" si="0"/>
        <v>6.673021925643674E-3</v>
      </c>
    </row>
    <row r="10" spans="1:8" x14ac:dyDescent="0.25">
      <c r="A10" s="3">
        <v>8</v>
      </c>
      <c r="B10" s="5">
        <f>1+参数!$B$8/100*A10/100</f>
        <v>1.056</v>
      </c>
      <c r="C10" s="6">
        <f t="shared" si="0"/>
        <v>6.6287878787878451E-3</v>
      </c>
    </row>
    <row r="11" spans="1:8" x14ac:dyDescent="0.25">
      <c r="A11" s="3">
        <v>9</v>
      </c>
      <c r="B11" s="5">
        <f>1+参数!$B$8/100*A11/100</f>
        <v>1.0629999999999999</v>
      </c>
      <c r="C11" s="6">
        <f t="shared" si="0"/>
        <v>6.5851364063971296E-3</v>
      </c>
    </row>
    <row r="12" spans="1:8" x14ac:dyDescent="0.25">
      <c r="A12" s="3">
        <v>10</v>
      </c>
      <c r="B12" s="5">
        <f>1+参数!$B$8/100*A12/100</f>
        <v>1.07</v>
      </c>
      <c r="C12" s="6">
        <f t="shared" si="0"/>
        <v>6.5420560747662115E-3</v>
      </c>
    </row>
    <row r="13" spans="1:8" x14ac:dyDescent="0.25">
      <c r="A13" s="3">
        <v>11</v>
      </c>
      <c r="B13" s="5">
        <f>1+参数!$B$8/100*A13/100</f>
        <v>1.077</v>
      </c>
      <c r="C13" s="6">
        <f t="shared" si="0"/>
        <v>6.4995357474466608E-3</v>
      </c>
    </row>
    <row r="14" spans="1:8" x14ac:dyDescent="0.25">
      <c r="A14" s="3">
        <v>12</v>
      </c>
      <c r="B14" s="5">
        <f>1+参数!$B$8/100*A14/100</f>
        <v>1.0840000000000001</v>
      </c>
      <c r="C14" s="6">
        <f t="shared" si="0"/>
        <v>6.4575645756457245E-3</v>
      </c>
    </row>
    <row r="15" spans="1:8" x14ac:dyDescent="0.25">
      <c r="A15" s="3">
        <v>13</v>
      </c>
      <c r="B15" s="5">
        <f>1+参数!$B$8/100*A15/100</f>
        <v>1.091</v>
      </c>
      <c r="C15" s="6">
        <f t="shared" si="0"/>
        <v>6.4161319890010393E-3</v>
      </c>
    </row>
    <row r="16" spans="1:8" x14ac:dyDescent="0.25">
      <c r="A16" s="3">
        <v>14</v>
      </c>
      <c r="B16" s="5">
        <f>1+参数!$B$8/100*A16/100</f>
        <v>1.0980000000000001</v>
      </c>
      <c r="C16" s="6">
        <f t="shared" si="0"/>
        <v>6.3752276867030666E-3</v>
      </c>
    </row>
    <row r="17" spans="1:3" x14ac:dyDescent="0.25">
      <c r="A17" s="3">
        <v>15</v>
      </c>
      <c r="B17" s="5">
        <f>1+参数!$B$8/100*A17/100</f>
        <v>1.105</v>
      </c>
      <c r="C17" s="6">
        <f t="shared" si="0"/>
        <v>6.3348416289594756E-3</v>
      </c>
    </row>
    <row r="18" spans="1:3" x14ac:dyDescent="0.25">
      <c r="A18" s="3">
        <v>16</v>
      </c>
      <c r="B18" s="5">
        <f>1+参数!$B$8/100*A18/100</f>
        <v>1.1120000000000001</v>
      </c>
      <c r="C18" s="6">
        <f t="shared" si="0"/>
        <v>6.2949640287768283E-3</v>
      </c>
    </row>
    <row r="19" spans="1:3" x14ac:dyDescent="0.25">
      <c r="A19" s="3">
        <v>17</v>
      </c>
      <c r="B19" s="5">
        <f>1+参数!$B$8/100*A19/100</f>
        <v>1.119</v>
      </c>
      <c r="C19" s="6">
        <f t="shared" si="0"/>
        <v>6.2555853440571241E-3</v>
      </c>
    </row>
    <row r="20" spans="1:3" x14ac:dyDescent="0.25">
      <c r="A20" s="3">
        <v>18</v>
      </c>
      <c r="B20" s="5">
        <f>1+参数!$B$8/100*A20/100</f>
        <v>1.1259999999999999</v>
      </c>
      <c r="C20" s="6">
        <f t="shared" si="0"/>
        <v>6.2166962699823358E-3</v>
      </c>
    </row>
    <row r="21" spans="1:3" x14ac:dyDescent="0.25">
      <c r="A21" s="3">
        <v>19</v>
      </c>
      <c r="B21" s="5">
        <f>1+参数!$B$8/100*A21/100</f>
        <v>1.133</v>
      </c>
      <c r="C21" s="6">
        <f t="shared" si="0"/>
        <v>6.1782877316858276E-3</v>
      </c>
    </row>
    <row r="22" spans="1:3" x14ac:dyDescent="0.25">
      <c r="A22" s="3">
        <v>20</v>
      </c>
      <c r="B22" s="5">
        <f>1+参数!$B$8/100*A22/100</f>
        <v>1.1400000000000001</v>
      </c>
      <c r="C22" s="6">
        <f t="shared" si="0"/>
        <v>6.1403508771928905E-3</v>
      </c>
    </row>
    <row r="23" spans="1:3" x14ac:dyDescent="0.25">
      <c r="A23" s="3">
        <v>21</v>
      </c>
      <c r="B23" s="5">
        <f>1+参数!$B$8/100*A23/100</f>
        <v>1.147</v>
      </c>
      <c r="C23" s="6">
        <f t="shared" si="0"/>
        <v>6.1028770706188507E-3</v>
      </c>
    </row>
    <row r="24" spans="1:3" x14ac:dyDescent="0.25">
      <c r="A24" s="3">
        <v>22</v>
      </c>
      <c r="B24" s="5">
        <f>1+参数!$B$8/100*A24/100</f>
        <v>1.1539999999999999</v>
      </c>
      <c r="C24" s="6">
        <f t="shared" si="0"/>
        <v>6.0658578856154222E-3</v>
      </c>
    </row>
    <row r="25" spans="1:3" x14ac:dyDescent="0.25">
      <c r="A25" s="3">
        <v>23</v>
      </c>
      <c r="B25" s="5">
        <f>1+参数!$B$8/100*A25/100</f>
        <v>1.161</v>
      </c>
      <c r="C25" s="6">
        <f t="shared" si="0"/>
        <v>6.0292850990524283E-3</v>
      </c>
    </row>
    <row r="26" spans="1:3" x14ac:dyDescent="0.25">
      <c r="A26" s="3">
        <v>24</v>
      </c>
      <c r="B26" s="5">
        <f>1+参数!$B$8/100*A26/100</f>
        <v>1.1679999999999999</v>
      </c>
      <c r="C26" s="6">
        <f t="shared" si="0"/>
        <v>5.9931506849315586E-3</v>
      </c>
    </row>
    <row r="27" spans="1:3" x14ac:dyDescent="0.25">
      <c r="A27" s="3">
        <v>25</v>
      </c>
      <c r="B27" s="5">
        <f>1+参数!$B$8/100*A27/100</f>
        <v>1.175</v>
      </c>
      <c r="C27" s="6">
        <f t="shared" si="0"/>
        <v>5.9574468085106247E-3</v>
      </c>
    </row>
    <row r="28" spans="1:3" x14ac:dyDescent="0.25">
      <c r="A28" s="3">
        <v>26</v>
      </c>
      <c r="B28" s="5">
        <f>1+参数!$B$8/100*A28/100</f>
        <v>1.1819999999999999</v>
      </c>
      <c r="C28" s="6">
        <f t="shared" si="0"/>
        <v>5.9221658206429773E-3</v>
      </c>
    </row>
    <row r="29" spans="1:3" x14ac:dyDescent="0.25">
      <c r="A29" s="3">
        <v>27</v>
      </c>
      <c r="B29" s="5">
        <f>1+参数!$B$8/100*A29/100</f>
        <v>1.1890000000000001</v>
      </c>
      <c r="C29" s="6">
        <f t="shared" si="0"/>
        <v>5.887300252312766E-3</v>
      </c>
    </row>
    <row r="30" spans="1:3" x14ac:dyDescent="0.25">
      <c r="A30" s="3">
        <v>28</v>
      </c>
      <c r="B30" s="5">
        <f>1+参数!$B$8/100*A30/100</f>
        <v>1.196</v>
      </c>
      <c r="C30" s="6">
        <f t="shared" si="0"/>
        <v>5.8528428093644891E-3</v>
      </c>
    </row>
    <row r="31" spans="1:3" x14ac:dyDescent="0.25">
      <c r="A31" s="3">
        <v>29</v>
      </c>
      <c r="B31" s="5">
        <f>1+参数!$B$8/100*A31/100</f>
        <v>1.2029999999999998</v>
      </c>
      <c r="C31" s="6">
        <f t="shared" si="0"/>
        <v>5.818786367414841E-3</v>
      </c>
    </row>
    <row r="32" spans="1:3" x14ac:dyDescent="0.25">
      <c r="A32" s="3">
        <v>30</v>
      </c>
      <c r="B32" s="5">
        <f>1+参数!$B$8/100*A32/100</f>
        <v>1.21</v>
      </c>
      <c r="C32" s="6">
        <f t="shared" si="0"/>
        <v>5.7851239669421961E-3</v>
      </c>
    </row>
    <row r="33" spans="1:3" x14ac:dyDescent="0.25">
      <c r="A33" s="3">
        <v>31</v>
      </c>
      <c r="B33" s="5">
        <f>1+参数!$B$8/100*A33/100</f>
        <v>1.2170000000000001</v>
      </c>
      <c r="C33" s="6">
        <f t="shared" si="0"/>
        <v>5.7518488085455122E-3</v>
      </c>
    </row>
    <row r="34" spans="1:3" x14ac:dyDescent="0.25">
      <c r="A34" s="3">
        <v>32</v>
      </c>
      <c r="B34" s="5">
        <f>1+参数!$B$8/100*A34/100</f>
        <v>1.224</v>
      </c>
      <c r="C34" s="6">
        <f t="shared" si="0"/>
        <v>5.7189542483659928E-3</v>
      </c>
    </row>
    <row r="35" spans="1:3" x14ac:dyDescent="0.25">
      <c r="A35" s="3">
        <v>33</v>
      </c>
      <c r="B35" s="5">
        <f>1+参数!$B$8/100*A35/100</f>
        <v>1.2309999999999999</v>
      </c>
      <c r="C35" s="6">
        <f t="shared" si="0"/>
        <v>5.6864337936637366E-3</v>
      </c>
    </row>
    <row r="36" spans="1:3" x14ac:dyDescent="0.25">
      <c r="A36" s="3">
        <v>34</v>
      </c>
      <c r="B36" s="5">
        <f>1+参数!$B$8/100*A36/100</f>
        <v>1.238</v>
      </c>
      <c r="C36" s="6">
        <f t="shared" si="0"/>
        <v>5.6542810985460434E-3</v>
      </c>
    </row>
    <row r="37" spans="1:3" x14ac:dyDescent="0.25">
      <c r="A37" s="3">
        <v>35</v>
      </c>
      <c r="B37" s="5">
        <f>1+参数!$B$8/100*A37/100</f>
        <v>1.2450000000000001</v>
      </c>
      <c r="C37" s="6">
        <f t="shared" si="0"/>
        <v>5.6224899598393829E-3</v>
      </c>
    </row>
    <row r="38" spans="1:3" x14ac:dyDescent="0.25">
      <c r="A38" s="3">
        <v>36</v>
      </c>
      <c r="B38" s="5">
        <f>1+参数!$B$8/100*A38/100</f>
        <v>1.252</v>
      </c>
      <c r="C38" s="6">
        <f t="shared" si="0"/>
        <v>5.5910543130990309E-3</v>
      </c>
    </row>
    <row r="39" spans="1:3" x14ac:dyDescent="0.25">
      <c r="A39" s="3">
        <v>37</v>
      </c>
      <c r="B39" s="5">
        <f>1+参数!$B$8/100*A39/100</f>
        <v>1.2589999999999999</v>
      </c>
      <c r="C39" s="6">
        <f t="shared" si="0"/>
        <v>5.5599682287530428E-3</v>
      </c>
    </row>
    <row r="40" spans="1:3" x14ac:dyDescent="0.25">
      <c r="A40" s="3">
        <v>38</v>
      </c>
      <c r="B40" s="5">
        <f>1+参数!$B$8/100*A40/100</f>
        <v>1.266</v>
      </c>
      <c r="C40" s="6">
        <f t="shared" si="0"/>
        <v>5.5292259083727924E-3</v>
      </c>
    </row>
    <row r="41" spans="1:3" x14ac:dyDescent="0.25">
      <c r="A41" s="3">
        <v>39</v>
      </c>
      <c r="B41" s="5">
        <f>1+参数!$B$8/100*A41/100</f>
        <v>1.2729999999999999</v>
      </c>
      <c r="C41" s="6">
        <f t="shared" si="0"/>
        <v>5.498821681068522E-3</v>
      </c>
    </row>
    <row r="42" spans="1:3" x14ac:dyDescent="0.25">
      <c r="A42" s="3">
        <v>40</v>
      </c>
      <c r="B42" s="5">
        <f>1+参数!$B$8/100*A42/100</f>
        <v>1.28</v>
      </c>
      <c r="C42" s="6">
        <f t="shared" si="0"/>
        <v>5.4687499999999112E-3</v>
      </c>
    </row>
    <row r="43" spans="1:3" x14ac:dyDescent="0.25">
      <c r="A43" s="3">
        <v>41</v>
      </c>
      <c r="B43" s="5">
        <f>1+参数!$B$8/100*A43/100</f>
        <v>1.2869999999999999</v>
      </c>
      <c r="C43" s="6">
        <f t="shared" si="0"/>
        <v>5.4390054390054399E-3</v>
      </c>
    </row>
    <row r="44" spans="1:3" x14ac:dyDescent="0.25">
      <c r="A44" s="3">
        <v>42</v>
      </c>
      <c r="B44" s="5">
        <f>1+参数!$B$8/100*A44/100</f>
        <v>1.294</v>
      </c>
      <c r="C44" s="6">
        <f t="shared" si="0"/>
        <v>5.4095826893352239E-3</v>
      </c>
    </row>
    <row r="45" spans="1:3" x14ac:dyDescent="0.25">
      <c r="A45" s="3">
        <v>43</v>
      </c>
      <c r="B45" s="5">
        <f>1+参数!$B$8/100*A45/100</f>
        <v>1.3009999999999999</v>
      </c>
      <c r="C45" s="6">
        <f t="shared" si="0"/>
        <v>5.3804765564950952E-3</v>
      </c>
    </row>
    <row r="46" spans="1:3" x14ac:dyDescent="0.25">
      <c r="A46" s="3">
        <v>44</v>
      </c>
      <c r="B46" s="5">
        <f>1+参数!$B$8/100*A46/100</f>
        <v>1.3080000000000001</v>
      </c>
      <c r="C46" s="6">
        <f t="shared" si="0"/>
        <v>5.3516819571863827E-3</v>
      </c>
    </row>
    <row r="47" spans="1:3" x14ac:dyDescent="0.25">
      <c r="A47" s="3">
        <v>45</v>
      </c>
      <c r="B47" s="5">
        <f>1+参数!$B$8/100*A47/100</f>
        <v>1.3149999999999999</v>
      </c>
      <c r="C47" s="6">
        <f t="shared" si="0"/>
        <v>5.3231939163498332E-3</v>
      </c>
    </row>
    <row r="48" spans="1:3" x14ac:dyDescent="0.25">
      <c r="A48" s="3">
        <v>46</v>
      </c>
      <c r="B48" s="5">
        <f>1+参数!$B$8/100*A48/100</f>
        <v>1.3220000000000001</v>
      </c>
      <c r="C48" s="6">
        <f t="shared" si="0"/>
        <v>5.2950075642963501E-3</v>
      </c>
    </row>
    <row r="49" spans="1:3" x14ac:dyDescent="0.25">
      <c r="A49" s="3">
        <v>47</v>
      </c>
      <c r="B49" s="5">
        <f>1+参数!$B$8/100*A49/100</f>
        <v>1.329</v>
      </c>
      <c r="C49" s="6">
        <f t="shared" si="0"/>
        <v>5.2671181339352113E-3</v>
      </c>
    </row>
    <row r="50" spans="1:3" x14ac:dyDescent="0.25">
      <c r="A50" s="3">
        <v>48</v>
      </c>
      <c r="B50" s="5">
        <f>1+参数!$B$8/100*A50/100</f>
        <v>1.3359999999999999</v>
      </c>
      <c r="C50" s="6">
        <f t="shared" si="0"/>
        <v>5.2395209580839985E-3</v>
      </c>
    </row>
    <row r="51" spans="1:3" x14ac:dyDescent="0.25">
      <c r="A51" s="3">
        <v>49</v>
      </c>
      <c r="B51" s="5">
        <f>1+参数!$B$8/100*A51/100</f>
        <v>1.343</v>
      </c>
      <c r="C51" s="6">
        <f t="shared" si="0"/>
        <v>5.2122114668653463E-3</v>
      </c>
    </row>
    <row r="52" spans="1:3" x14ac:dyDescent="0.25">
      <c r="A52" s="3">
        <v>50</v>
      </c>
      <c r="B52" s="5">
        <f>1+参数!$B$8/100*A52/100</f>
        <v>1.35</v>
      </c>
      <c r="C52" s="6">
        <f t="shared" si="0"/>
        <v>5.1851851851851816E-3</v>
      </c>
    </row>
    <row r="53" spans="1:3" x14ac:dyDescent="0.25">
      <c r="A53" s="3">
        <v>51</v>
      </c>
      <c r="B53" s="5">
        <f>1+参数!$B$8/100*A53/100</f>
        <v>1.357</v>
      </c>
      <c r="C53" s="6">
        <f t="shared" si="0"/>
        <v>5.1584377302873463E-3</v>
      </c>
    </row>
    <row r="54" spans="1:3" x14ac:dyDescent="0.25">
      <c r="A54" s="3">
        <v>52</v>
      </c>
      <c r="B54" s="5">
        <f>1+参数!$B$8/100*A54/100</f>
        <v>1.3639999999999999</v>
      </c>
      <c r="C54" s="6">
        <f t="shared" si="0"/>
        <v>5.1319648093841597E-3</v>
      </c>
    </row>
    <row r="55" spans="1:3" x14ac:dyDescent="0.25">
      <c r="A55" s="3">
        <v>53</v>
      </c>
      <c r="B55" s="5">
        <f>1+参数!$B$8/100*A55/100</f>
        <v>1.371</v>
      </c>
      <c r="C55" s="6">
        <f t="shared" si="0"/>
        <v>5.1057622173595885E-3</v>
      </c>
    </row>
    <row r="56" spans="1:3" x14ac:dyDescent="0.25">
      <c r="A56" s="3">
        <v>54</v>
      </c>
      <c r="B56" s="5">
        <f>1+参数!$B$8/100*A56/100</f>
        <v>1.3779999999999999</v>
      </c>
      <c r="C56" s="6">
        <f t="shared" si="0"/>
        <v>5.079825834542806E-3</v>
      </c>
    </row>
    <row r="57" spans="1:3" x14ac:dyDescent="0.25">
      <c r="A57" s="3">
        <v>55</v>
      </c>
      <c r="B57" s="5">
        <f>1+参数!$B$8/100*A57/100</f>
        <v>1.385</v>
      </c>
      <c r="C57" s="6">
        <f t="shared" si="0"/>
        <v>5.0541516245485862E-3</v>
      </c>
    </row>
    <row r="58" spans="1:3" x14ac:dyDescent="0.25">
      <c r="A58" s="3">
        <v>56</v>
      </c>
      <c r="B58" s="5">
        <f>1+参数!$B$8/100*A58/100</f>
        <v>1.3919999999999999</v>
      </c>
      <c r="C58" s="6">
        <f t="shared" si="0"/>
        <v>5.0287356321840893E-3</v>
      </c>
    </row>
    <row r="59" spans="1:3" x14ac:dyDescent="0.25">
      <c r="A59" s="3">
        <v>57</v>
      </c>
      <c r="B59" s="5">
        <f>1+参数!$B$8/100*A59/100</f>
        <v>1.399</v>
      </c>
      <c r="C59" s="6">
        <f t="shared" si="0"/>
        <v>5.0035739814151547E-3</v>
      </c>
    </row>
    <row r="60" spans="1:3" x14ac:dyDescent="0.25">
      <c r="A60" s="3">
        <v>58</v>
      </c>
      <c r="B60" s="5">
        <f>1+参数!$B$8/100*A60/100</f>
        <v>1.4059999999999999</v>
      </c>
      <c r="C60" s="6">
        <f t="shared" si="0"/>
        <v>4.978662873399875E-3</v>
      </c>
    </row>
    <row r="61" spans="1:3" x14ac:dyDescent="0.25">
      <c r="A61" s="3">
        <v>59</v>
      </c>
      <c r="B61" s="5">
        <f>1+参数!$B$8/100*A61/100</f>
        <v>1.413</v>
      </c>
      <c r="C61" s="6">
        <f t="shared" si="0"/>
        <v>4.9539985845716838E-3</v>
      </c>
    </row>
    <row r="62" spans="1:3" x14ac:dyDescent="0.25">
      <c r="A62" s="3">
        <v>60</v>
      </c>
      <c r="B62" s="5">
        <f>1+参数!$B$8/100*A62/100</f>
        <v>1.42</v>
      </c>
      <c r="C62" s="6">
        <f t="shared" si="0"/>
        <v>4.9295774647888368E-3</v>
      </c>
    </row>
    <row r="63" spans="1:3" x14ac:dyDescent="0.25">
      <c r="A63" s="3">
        <v>61</v>
      </c>
      <c r="B63" s="5">
        <f>1+参数!$B$8/100*A63/100</f>
        <v>1.427</v>
      </c>
      <c r="C63" s="6">
        <f t="shared" si="0"/>
        <v>4.9053959355289667E-3</v>
      </c>
    </row>
    <row r="64" spans="1:3" x14ac:dyDescent="0.25">
      <c r="A64" s="3">
        <v>62</v>
      </c>
      <c r="B64" s="5">
        <f>1+参数!$B$8/100*A64/100</f>
        <v>1.4339999999999999</v>
      </c>
      <c r="C64" s="6">
        <f t="shared" si="0"/>
        <v>4.8814504881449228E-3</v>
      </c>
    </row>
    <row r="65" spans="1:3" x14ac:dyDescent="0.25">
      <c r="A65" s="3">
        <v>63</v>
      </c>
      <c r="B65" s="5">
        <f>1+参数!$B$8/100*A65/100</f>
        <v>1.4409999999999998</v>
      </c>
      <c r="C65" s="6">
        <f t="shared" si="0"/>
        <v>4.8577376821652418E-3</v>
      </c>
    </row>
    <row r="66" spans="1:3" x14ac:dyDescent="0.25">
      <c r="A66" s="3">
        <v>64</v>
      </c>
      <c r="B66" s="5">
        <f>1+参数!$B$8/100*A66/100</f>
        <v>1.448</v>
      </c>
      <c r="C66" s="6">
        <f t="shared" ref="C66:C129" si="1">B67/B66-1</f>
        <v>4.8342541436465769E-3</v>
      </c>
    </row>
    <row r="67" spans="1:3" x14ac:dyDescent="0.25">
      <c r="A67" s="3">
        <v>65</v>
      </c>
      <c r="B67" s="5">
        <f>1+参数!$B$8/100*A67/100</f>
        <v>1.4550000000000001</v>
      </c>
      <c r="C67" s="6">
        <f t="shared" si="1"/>
        <v>4.8109965635738661E-3</v>
      </c>
    </row>
    <row r="68" spans="1:3" x14ac:dyDescent="0.25">
      <c r="A68" s="3">
        <v>66</v>
      </c>
      <c r="B68" s="5">
        <f>1+参数!$B$8/100*A68/100</f>
        <v>1.462</v>
      </c>
      <c r="C68" s="6">
        <f t="shared" si="1"/>
        <v>4.7879616963064642E-3</v>
      </c>
    </row>
    <row r="69" spans="1:3" x14ac:dyDescent="0.25">
      <c r="A69" s="3">
        <v>67</v>
      </c>
      <c r="B69" s="5">
        <f>1+参数!$B$8/100*A69/100</f>
        <v>1.4689999999999999</v>
      </c>
      <c r="C69" s="6">
        <f t="shared" si="1"/>
        <v>4.7651463580666853E-3</v>
      </c>
    </row>
    <row r="70" spans="1:3" x14ac:dyDescent="0.25">
      <c r="A70" s="3">
        <v>68</v>
      </c>
      <c r="B70" s="5">
        <f>1+参数!$B$8/100*A70/100</f>
        <v>1.476</v>
      </c>
      <c r="C70" s="6">
        <f t="shared" si="1"/>
        <v>4.7425474254743083E-3</v>
      </c>
    </row>
    <row r="71" spans="1:3" x14ac:dyDescent="0.25">
      <c r="A71" s="3">
        <v>69</v>
      </c>
      <c r="B71" s="5">
        <f>1+参数!$B$8/100*A71/100</f>
        <v>1.4830000000000001</v>
      </c>
      <c r="C71" s="6">
        <f t="shared" si="1"/>
        <v>4.7201618341199403E-3</v>
      </c>
    </row>
    <row r="72" spans="1:3" x14ac:dyDescent="0.25">
      <c r="A72" s="3">
        <v>70</v>
      </c>
      <c r="B72" s="5">
        <f>1+参数!$B$8/100*A72/100</f>
        <v>1.49</v>
      </c>
      <c r="C72" s="6">
        <f t="shared" si="1"/>
        <v>4.6979865771812346E-3</v>
      </c>
    </row>
    <row r="73" spans="1:3" x14ac:dyDescent="0.25">
      <c r="A73" s="3">
        <v>71</v>
      </c>
      <c r="B73" s="5">
        <f>1+参数!$B$8/100*A73/100</f>
        <v>1.4969999999999999</v>
      </c>
      <c r="C73" s="6">
        <f t="shared" si="1"/>
        <v>4.676018704074858E-3</v>
      </c>
    </row>
    <row r="74" spans="1:3" x14ac:dyDescent="0.25">
      <c r="A74" s="3">
        <v>72</v>
      </c>
      <c r="B74" s="5">
        <f>1+参数!$B$8/100*A74/100</f>
        <v>1.504</v>
      </c>
      <c r="C74" s="6">
        <f t="shared" si="1"/>
        <v>4.65425531914887E-3</v>
      </c>
    </row>
    <row r="75" spans="1:3" x14ac:dyDescent="0.25">
      <c r="A75" s="3">
        <v>73</v>
      </c>
      <c r="B75" s="5">
        <f>1+参数!$B$8/100*A75/100</f>
        <v>1.5109999999999999</v>
      </c>
      <c r="C75" s="6">
        <f t="shared" si="1"/>
        <v>4.6326935804104075E-3</v>
      </c>
    </row>
    <row r="76" spans="1:3" x14ac:dyDescent="0.25">
      <c r="A76" s="3">
        <v>74</v>
      </c>
      <c r="B76" s="5">
        <f>1+参数!$B$8/100*A76/100</f>
        <v>1.518</v>
      </c>
      <c r="C76" s="6">
        <f t="shared" si="1"/>
        <v>4.6113306982871194E-3</v>
      </c>
    </row>
    <row r="77" spans="1:3" x14ac:dyDescent="0.25">
      <c r="A77" s="3">
        <v>75</v>
      </c>
      <c r="B77" s="5">
        <f>1+参数!$B$8/100*A77/100</f>
        <v>1.5249999999999999</v>
      </c>
      <c r="C77" s="6">
        <f t="shared" si="1"/>
        <v>4.5901639344263501E-3</v>
      </c>
    </row>
    <row r="78" spans="1:3" x14ac:dyDescent="0.25">
      <c r="A78" s="3">
        <v>76</v>
      </c>
      <c r="B78" s="5">
        <f>1+参数!$B$8/100*A78/100</f>
        <v>1.532</v>
      </c>
      <c r="C78" s="6">
        <f t="shared" si="1"/>
        <v>4.5691906005222993E-3</v>
      </c>
    </row>
    <row r="79" spans="1:3" x14ac:dyDescent="0.25">
      <c r="A79" s="3">
        <v>77</v>
      </c>
      <c r="B79" s="5">
        <f>1+参数!$B$8/100*A79/100</f>
        <v>1.5390000000000001</v>
      </c>
      <c r="C79" s="6">
        <f t="shared" si="1"/>
        <v>4.5484080571798202E-3</v>
      </c>
    </row>
    <row r="80" spans="1:3" x14ac:dyDescent="0.25">
      <c r="A80" s="3">
        <v>78</v>
      </c>
      <c r="B80" s="5">
        <f>1+参数!$B$8/100*A80/100</f>
        <v>1.5459999999999998</v>
      </c>
      <c r="C80" s="6">
        <f t="shared" si="1"/>
        <v>4.5278137128073048E-3</v>
      </c>
    </row>
    <row r="81" spans="1:3" x14ac:dyDescent="0.25">
      <c r="A81" s="3">
        <v>79</v>
      </c>
      <c r="B81" s="5">
        <f>1+参数!$B$8/100*A81/100</f>
        <v>1.5529999999999999</v>
      </c>
      <c r="C81" s="6">
        <f t="shared" si="1"/>
        <v>4.5074050225371032E-3</v>
      </c>
    </row>
    <row r="82" spans="1:3" x14ac:dyDescent="0.25">
      <c r="A82" s="3">
        <v>80</v>
      </c>
      <c r="B82" s="5">
        <f>1+参数!$B$8/100*A82/100</f>
        <v>1.56</v>
      </c>
      <c r="C82" s="6">
        <f t="shared" si="1"/>
        <v>4.4871794871794712E-3</v>
      </c>
    </row>
    <row r="83" spans="1:3" x14ac:dyDescent="0.25">
      <c r="A83" s="3">
        <v>81</v>
      </c>
      <c r="B83" s="5">
        <f>1+参数!$B$8/100*A83/100</f>
        <v>1.5669999999999999</v>
      </c>
      <c r="C83" s="6">
        <f t="shared" si="1"/>
        <v>4.4671346522016098E-3</v>
      </c>
    </row>
    <row r="84" spans="1:3" x14ac:dyDescent="0.25">
      <c r="A84" s="3">
        <v>82</v>
      </c>
      <c r="B84" s="5">
        <f>1+参数!$B$8/100*A84/100</f>
        <v>1.5739999999999998</v>
      </c>
      <c r="C84" s="6">
        <f t="shared" si="1"/>
        <v>4.4472681067344588E-3</v>
      </c>
    </row>
    <row r="85" spans="1:3" x14ac:dyDescent="0.25">
      <c r="A85" s="3">
        <v>83</v>
      </c>
      <c r="B85" s="5">
        <f>1+参数!$B$8/100*A85/100</f>
        <v>1.581</v>
      </c>
      <c r="C85" s="6">
        <f t="shared" si="1"/>
        <v>4.4275774826059155E-3</v>
      </c>
    </row>
    <row r="86" spans="1:3" x14ac:dyDescent="0.25">
      <c r="A86" s="3">
        <v>84</v>
      </c>
      <c r="B86" s="5">
        <f>1+参数!$B$8/100*A86/100</f>
        <v>1.5880000000000001</v>
      </c>
      <c r="C86" s="6">
        <f t="shared" si="1"/>
        <v>4.4080604534004753E-3</v>
      </c>
    </row>
    <row r="87" spans="1:3" x14ac:dyDescent="0.25">
      <c r="A87" s="3">
        <v>85</v>
      </c>
      <c r="B87" s="5">
        <f>1+参数!$B$8/100*A87/100</f>
        <v>1.595</v>
      </c>
      <c r="C87" s="6">
        <f t="shared" si="1"/>
        <v>4.3887147335421872E-3</v>
      </c>
    </row>
    <row r="88" spans="1:3" x14ac:dyDescent="0.25">
      <c r="A88" s="3">
        <v>86</v>
      </c>
      <c r="B88" s="5">
        <f>1+参数!$B$8/100*A88/100</f>
        <v>1.6019999999999999</v>
      </c>
      <c r="C88" s="6">
        <f t="shared" si="1"/>
        <v>4.3695380774033676E-3</v>
      </c>
    </row>
    <row r="89" spans="1:3" x14ac:dyDescent="0.25">
      <c r="A89" s="3">
        <v>87</v>
      </c>
      <c r="B89" s="5">
        <f>1+参数!$B$8/100*A89/100</f>
        <v>1.609</v>
      </c>
      <c r="C89" s="6">
        <f t="shared" si="1"/>
        <v>4.3505282784339627E-3</v>
      </c>
    </row>
    <row r="90" spans="1:3" x14ac:dyDescent="0.25">
      <c r="A90" s="3">
        <v>88</v>
      </c>
      <c r="B90" s="5">
        <f>1+参数!$B$8/100*A90/100</f>
        <v>1.6160000000000001</v>
      </c>
      <c r="C90" s="6">
        <f t="shared" si="1"/>
        <v>4.331683168316669E-3</v>
      </c>
    </row>
    <row r="91" spans="1:3" x14ac:dyDescent="0.25">
      <c r="A91" s="3">
        <v>89</v>
      </c>
      <c r="B91" s="5">
        <f>1+参数!$B$8/100*A91/100</f>
        <v>1.623</v>
      </c>
      <c r="C91" s="6">
        <f t="shared" si="1"/>
        <v>4.3130006161429257E-3</v>
      </c>
    </row>
    <row r="92" spans="1:3" x14ac:dyDescent="0.25">
      <c r="A92" s="3">
        <v>90</v>
      </c>
      <c r="B92" s="5">
        <f>1+参数!$B$8/100*A92/100</f>
        <v>1.63</v>
      </c>
      <c r="C92" s="6">
        <f t="shared" si="1"/>
        <v>4.2944785276073372E-3</v>
      </c>
    </row>
    <row r="93" spans="1:3" x14ac:dyDescent="0.25">
      <c r="A93" s="3">
        <v>91</v>
      </c>
      <c r="B93" s="5">
        <f>1+参数!$B$8/100*A93/100</f>
        <v>1.637</v>
      </c>
      <c r="C93" s="6">
        <f t="shared" si="1"/>
        <v>4.2761148442271857E-3</v>
      </c>
    </row>
    <row r="94" spans="1:3" x14ac:dyDescent="0.25">
      <c r="A94" s="3">
        <v>92</v>
      </c>
      <c r="B94" s="5">
        <f>1+参数!$B$8/100*A94/100</f>
        <v>1.6439999999999999</v>
      </c>
      <c r="C94" s="6">
        <f t="shared" si="1"/>
        <v>4.2579075425790425E-3</v>
      </c>
    </row>
    <row r="95" spans="1:3" x14ac:dyDescent="0.25">
      <c r="A95" s="3">
        <v>93</v>
      </c>
      <c r="B95" s="5">
        <f>1+参数!$B$8/100*A95/100</f>
        <v>1.6509999999999998</v>
      </c>
      <c r="C95" s="6">
        <f t="shared" si="1"/>
        <v>4.2398546335555842E-3</v>
      </c>
    </row>
    <row r="96" spans="1:3" x14ac:dyDescent="0.25">
      <c r="A96" s="3">
        <v>94</v>
      </c>
      <c r="B96" s="5">
        <f>1+参数!$B$8/100*A96/100</f>
        <v>1.6579999999999999</v>
      </c>
      <c r="C96" s="6">
        <f t="shared" si="1"/>
        <v>4.2219541616406175E-3</v>
      </c>
    </row>
    <row r="97" spans="1:3" x14ac:dyDescent="0.25">
      <c r="A97" s="3">
        <v>95</v>
      </c>
      <c r="B97" s="5">
        <f>1+参数!$B$8/100*A97/100</f>
        <v>1.665</v>
      </c>
      <c r="C97" s="6">
        <f t="shared" si="1"/>
        <v>4.2042042042040872E-3</v>
      </c>
    </row>
    <row r="98" spans="1:3" x14ac:dyDescent="0.25">
      <c r="A98" s="3">
        <v>96</v>
      </c>
      <c r="B98" s="5">
        <f>1+参数!$B$8/100*A98/100</f>
        <v>1.6719999999999999</v>
      </c>
      <c r="C98" s="6">
        <f t="shared" si="1"/>
        <v>4.1866028708132941E-3</v>
      </c>
    </row>
    <row r="99" spans="1:3" x14ac:dyDescent="0.25">
      <c r="A99" s="3">
        <v>97</v>
      </c>
      <c r="B99" s="5">
        <f>1+参数!$B$8/100*A99/100</f>
        <v>1.6789999999999998</v>
      </c>
      <c r="C99" s="6">
        <f t="shared" si="1"/>
        <v>4.1691483025612097E-3</v>
      </c>
    </row>
    <row r="100" spans="1:3" x14ac:dyDescent="0.25">
      <c r="A100" s="3">
        <v>98</v>
      </c>
      <c r="B100" s="5">
        <f>1+参数!$B$8/100*A100/100</f>
        <v>1.6859999999999999</v>
      </c>
      <c r="C100" s="6">
        <f t="shared" si="1"/>
        <v>4.1518386714116673E-3</v>
      </c>
    </row>
    <row r="101" spans="1:3" x14ac:dyDescent="0.25">
      <c r="A101" s="3">
        <v>99</v>
      </c>
      <c r="B101" s="5">
        <f>1+参数!$B$8/100*A101/100</f>
        <v>1.6930000000000001</v>
      </c>
      <c r="C101" s="6">
        <f t="shared" si="1"/>
        <v>4.1346721795627595E-3</v>
      </c>
    </row>
    <row r="102" spans="1:3" x14ac:dyDescent="0.25">
      <c r="A102" s="3">
        <v>100</v>
      </c>
      <c r="B102" s="5">
        <f>1+参数!$B$8/100*A102/100</f>
        <v>1.7</v>
      </c>
      <c r="C102" s="6">
        <f t="shared" si="1"/>
        <v>4.1176470588235592E-3</v>
      </c>
    </row>
    <row r="103" spans="1:3" x14ac:dyDescent="0.25">
      <c r="A103" s="3">
        <v>101</v>
      </c>
      <c r="B103" s="5">
        <f>1+参数!$B$8/100*A103/100</f>
        <v>1.7069999999999999</v>
      </c>
      <c r="C103" s="6">
        <f t="shared" si="1"/>
        <v>4.1007615700059397E-3</v>
      </c>
    </row>
    <row r="104" spans="1:3" x14ac:dyDescent="0.25">
      <c r="A104" s="3">
        <v>102</v>
      </c>
      <c r="B104" s="5">
        <f>1+参数!$B$8/100*A104/100</f>
        <v>1.714</v>
      </c>
      <c r="C104" s="6">
        <f t="shared" si="1"/>
        <v>4.0840140023337135E-3</v>
      </c>
    </row>
    <row r="105" spans="1:3" x14ac:dyDescent="0.25">
      <c r="A105" s="3">
        <v>103</v>
      </c>
      <c r="B105" s="5">
        <f>1+参数!$B$8/100*A105/100</f>
        <v>1.7210000000000001</v>
      </c>
      <c r="C105" s="6">
        <f t="shared" si="1"/>
        <v>4.0674026728646506E-3</v>
      </c>
    </row>
    <row r="106" spans="1:3" x14ac:dyDescent="0.25">
      <c r="A106" s="3">
        <v>104</v>
      </c>
      <c r="B106" s="5">
        <f>1+参数!$B$8/100*A106/100</f>
        <v>1.728</v>
      </c>
      <c r="C106" s="6">
        <f t="shared" si="1"/>
        <v>4.050925925925819E-3</v>
      </c>
    </row>
    <row r="107" spans="1:3" x14ac:dyDescent="0.25">
      <c r="A107" s="3">
        <v>105</v>
      </c>
      <c r="B107" s="5">
        <f>1+参数!$B$8/100*A107/100</f>
        <v>1.7349999999999999</v>
      </c>
      <c r="C107" s="6">
        <f t="shared" si="1"/>
        <v>4.0345821325649123E-3</v>
      </c>
    </row>
    <row r="108" spans="1:3" x14ac:dyDescent="0.25">
      <c r="A108" s="3">
        <v>106</v>
      </c>
      <c r="B108" s="5">
        <f>1+参数!$B$8/100*A108/100</f>
        <v>1.742</v>
      </c>
      <c r="C108" s="6">
        <f t="shared" si="1"/>
        <v>4.0183696900113475E-3</v>
      </c>
    </row>
    <row r="109" spans="1:3" x14ac:dyDescent="0.25">
      <c r="A109" s="3">
        <v>107</v>
      </c>
      <c r="B109" s="5">
        <f>1+参数!$B$8/100*A109/100</f>
        <v>1.7489999999999999</v>
      </c>
      <c r="C109" s="6">
        <f t="shared" si="1"/>
        <v>4.0022870211549044E-3</v>
      </c>
    </row>
    <row r="110" spans="1:3" x14ac:dyDescent="0.25">
      <c r="A110" s="3">
        <v>108</v>
      </c>
      <c r="B110" s="5">
        <f>1+参数!$B$8/100*A110/100</f>
        <v>1.7559999999999998</v>
      </c>
      <c r="C110" s="6">
        <f t="shared" si="1"/>
        <v>3.9863325740319144E-3</v>
      </c>
    </row>
    <row r="111" spans="1:3" x14ac:dyDescent="0.25">
      <c r="A111" s="3">
        <v>109</v>
      </c>
      <c r="B111" s="5">
        <f>1+参数!$B$8/100*A111/100</f>
        <v>1.7629999999999999</v>
      </c>
      <c r="C111" s="6">
        <f t="shared" si="1"/>
        <v>3.9705048213274363E-3</v>
      </c>
    </row>
    <row r="112" spans="1:3" x14ac:dyDescent="0.25">
      <c r="A112" s="3">
        <v>110</v>
      </c>
      <c r="B112" s="5">
        <f>1+参数!$B$8/100*A112/100</f>
        <v>1.77</v>
      </c>
      <c r="C112" s="6">
        <f t="shared" si="1"/>
        <v>3.9548022598869803E-3</v>
      </c>
    </row>
    <row r="113" spans="1:3" x14ac:dyDescent="0.25">
      <c r="A113" s="3">
        <v>111</v>
      </c>
      <c r="B113" s="5">
        <f>1+参数!$B$8/100*A113/100</f>
        <v>1.7769999999999999</v>
      </c>
      <c r="C113" s="6">
        <f t="shared" si="1"/>
        <v>3.9392234102419987E-3</v>
      </c>
    </row>
    <row r="114" spans="1:3" x14ac:dyDescent="0.25">
      <c r="A114" s="3">
        <v>112</v>
      </c>
      <c r="B114" s="5">
        <f>1+参数!$B$8/100*A114/100</f>
        <v>1.7839999999999998</v>
      </c>
      <c r="C114" s="6">
        <f t="shared" si="1"/>
        <v>3.9237668161435924E-3</v>
      </c>
    </row>
    <row r="115" spans="1:3" x14ac:dyDescent="0.25">
      <c r="A115" s="3">
        <v>113</v>
      </c>
      <c r="B115" s="5">
        <f>1+参数!$B$8/100*A115/100</f>
        <v>1.7909999999999999</v>
      </c>
      <c r="C115" s="6">
        <f t="shared" si="1"/>
        <v>3.9084310441095393E-3</v>
      </c>
    </row>
    <row r="116" spans="1:3" x14ac:dyDescent="0.25">
      <c r="A116" s="3">
        <v>114</v>
      </c>
      <c r="B116" s="5">
        <f>1+参数!$B$8/100*A116/100</f>
        <v>1.798</v>
      </c>
      <c r="C116" s="6">
        <f t="shared" si="1"/>
        <v>3.8932146829810943E-3</v>
      </c>
    </row>
    <row r="117" spans="1:3" x14ac:dyDescent="0.25">
      <c r="A117" s="3">
        <v>115</v>
      </c>
      <c r="B117" s="5">
        <f>1+参数!$B$8/100*A117/100</f>
        <v>1.8050000000000002</v>
      </c>
      <c r="C117" s="6">
        <f t="shared" si="1"/>
        <v>3.8781163434902233E-3</v>
      </c>
    </row>
    <row r="118" spans="1:3" x14ac:dyDescent="0.25">
      <c r="A118" s="3">
        <v>116</v>
      </c>
      <c r="B118" s="5">
        <f>1+参数!$B$8/100*A118/100</f>
        <v>1.8119999999999998</v>
      </c>
      <c r="C118" s="6">
        <f t="shared" si="1"/>
        <v>3.8631346578366088E-3</v>
      </c>
    </row>
    <row r="119" spans="1:3" x14ac:dyDescent="0.25">
      <c r="A119" s="3">
        <v>117</v>
      </c>
      <c r="B119" s="5">
        <f>1+参数!$B$8/100*A119/100</f>
        <v>1.819</v>
      </c>
      <c r="C119" s="6">
        <f t="shared" si="1"/>
        <v>3.8482682792744249E-3</v>
      </c>
    </row>
    <row r="120" spans="1:3" x14ac:dyDescent="0.25">
      <c r="A120" s="3">
        <v>118</v>
      </c>
      <c r="B120" s="5">
        <f>1+参数!$B$8/100*A120/100</f>
        <v>1.8260000000000001</v>
      </c>
      <c r="C120" s="6">
        <f t="shared" si="1"/>
        <v>3.8335158817086601E-3</v>
      </c>
    </row>
    <row r="121" spans="1:3" x14ac:dyDescent="0.25">
      <c r="A121" s="3">
        <v>119</v>
      </c>
      <c r="B121" s="5">
        <f>1+参数!$B$8/100*A121/100</f>
        <v>1.833</v>
      </c>
      <c r="C121" s="6">
        <f t="shared" si="1"/>
        <v>3.818876159301654E-3</v>
      </c>
    </row>
    <row r="122" spans="1:3" x14ac:dyDescent="0.25">
      <c r="A122" s="3">
        <v>120</v>
      </c>
      <c r="B122" s="5">
        <f>1+参数!$B$8/100*A122/100</f>
        <v>1.8399999999999999</v>
      </c>
      <c r="C122" s="6">
        <f t="shared" si="1"/>
        <v>3.8043478260869623E-3</v>
      </c>
    </row>
    <row r="123" spans="1:3" x14ac:dyDescent="0.25">
      <c r="A123" s="3">
        <v>121</v>
      </c>
      <c r="B123" s="5">
        <f>1+参数!$B$8/100*A123/100</f>
        <v>1.847</v>
      </c>
      <c r="C123" s="6">
        <f t="shared" si="1"/>
        <v>3.7899296155927686E-3</v>
      </c>
    </row>
    <row r="124" spans="1:3" x14ac:dyDescent="0.25">
      <c r="A124" s="3">
        <v>122</v>
      </c>
      <c r="B124" s="5">
        <f>1+参数!$B$8/100*A124/100</f>
        <v>1.8539999999999999</v>
      </c>
      <c r="C124" s="6">
        <f t="shared" si="1"/>
        <v>3.7756202804746231E-3</v>
      </c>
    </row>
    <row r="125" spans="1:3" x14ac:dyDescent="0.25">
      <c r="A125" s="3">
        <v>123</v>
      </c>
      <c r="B125" s="5">
        <f>1+参数!$B$8/100*A125/100</f>
        <v>1.861</v>
      </c>
      <c r="C125" s="6">
        <f t="shared" si="1"/>
        <v>3.7614185921546195E-3</v>
      </c>
    </row>
    <row r="126" spans="1:3" x14ac:dyDescent="0.25">
      <c r="A126" s="3">
        <v>124</v>
      </c>
      <c r="B126" s="5">
        <f>1+参数!$B$8/100*A126/100</f>
        <v>1.8679999999999999</v>
      </c>
      <c r="C126" s="6">
        <f t="shared" si="1"/>
        <v>3.7473233404712314E-3</v>
      </c>
    </row>
    <row r="127" spans="1:3" x14ac:dyDescent="0.25">
      <c r="A127" s="3">
        <v>125</v>
      </c>
      <c r="B127" s="5">
        <f>1+参数!$B$8/100*A127/100</f>
        <v>1.875</v>
      </c>
      <c r="C127" s="6">
        <f t="shared" si="1"/>
        <v>3.7333333333333663E-3</v>
      </c>
    </row>
    <row r="128" spans="1:3" x14ac:dyDescent="0.25">
      <c r="A128" s="3">
        <v>126</v>
      </c>
      <c r="B128" s="5">
        <f>1+参数!$B$8/100*A128/100</f>
        <v>1.8819999999999999</v>
      </c>
      <c r="C128" s="6">
        <f t="shared" si="1"/>
        <v>3.7194473963868546E-3</v>
      </c>
    </row>
    <row r="129" spans="1:3" x14ac:dyDescent="0.25">
      <c r="A129" s="3">
        <v>127</v>
      </c>
      <c r="B129" s="5">
        <f>1+参数!$B$8/100*A129/100</f>
        <v>1.8889999999999998</v>
      </c>
      <c r="C129" s="6">
        <f t="shared" si="1"/>
        <v>3.7056643726840477E-3</v>
      </c>
    </row>
    <row r="130" spans="1:3" x14ac:dyDescent="0.25">
      <c r="A130" s="3">
        <v>128</v>
      </c>
      <c r="B130" s="5">
        <f>1+参数!$B$8/100*A130/100</f>
        <v>1.8959999999999999</v>
      </c>
      <c r="C130" s="6">
        <f t="shared" ref="C130:C193" si="2">B131/B130-1</f>
        <v>3.6919831223629629E-3</v>
      </c>
    </row>
    <row r="131" spans="1:3" x14ac:dyDescent="0.25">
      <c r="A131" s="3">
        <v>129</v>
      </c>
      <c r="B131" s="5">
        <f>1+参数!$B$8/100*A131/100</f>
        <v>1.903</v>
      </c>
      <c r="C131" s="6">
        <f t="shared" si="2"/>
        <v>3.6784025223333128E-3</v>
      </c>
    </row>
    <row r="132" spans="1:3" x14ac:dyDescent="0.25">
      <c r="A132" s="3">
        <v>130</v>
      </c>
      <c r="B132" s="5">
        <f>1+参数!$B$8/100*A132/100</f>
        <v>1.9100000000000001</v>
      </c>
      <c r="C132" s="6">
        <f t="shared" si="2"/>
        <v>3.6649214659683071E-3</v>
      </c>
    </row>
    <row r="133" spans="1:3" x14ac:dyDescent="0.25">
      <c r="A133" s="3">
        <v>131</v>
      </c>
      <c r="B133" s="5">
        <f>1+参数!$B$8/100*A133/100</f>
        <v>1.9169999999999998</v>
      </c>
      <c r="C133" s="6">
        <f t="shared" si="2"/>
        <v>3.6515388628064471E-3</v>
      </c>
    </row>
    <row r="134" spans="1:3" x14ac:dyDescent="0.25">
      <c r="A134" s="3">
        <v>132</v>
      </c>
      <c r="B134" s="5">
        <f>1+参数!$B$8/100*A134/100</f>
        <v>1.9239999999999999</v>
      </c>
      <c r="C134" s="6">
        <f t="shared" si="2"/>
        <v>3.6382536382537634E-3</v>
      </c>
    </row>
    <row r="135" spans="1:3" x14ac:dyDescent="0.25">
      <c r="A135" s="3">
        <v>133</v>
      </c>
      <c r="B135" s="5">
        <f>1+参数!$B$8/100*A135/100</f>
        <v>1.931</v>
      </c>
      <c r="C135" s="6">
        <f t="shared" si="2"/>
        <v>3.6250647332987107E-3</v>
      </c>
    </row>
    <row r="136" spans="1:3" x14ac:dyDescent="0.25">
      <c r="A136" s="3">
        <v>134</v>
      </c>
      <c r="B136" s="5">
        <f>1+参数!$B$8/100*A136/100</f>
        <v>1.9379999999999999</v>
      </c>
      <c r="C136" s="6">
        <f t="shared" si="2"/>
        <v>3.6119711042310598E-3</v>
      </c>
    </row>
    <row r="137" spans="1:3" x14ac:dyDescent="0.25">
      <c r="A137" s="3">
        <v>135</v>
      </c>
      <c r="B137" s="5">
        <f>1+参数!$B$8/100*A137/100</f>
        <v>1.9449999999999998</v>
      </c>
      <c r="C137" s="6">
        <f t="shared" si="2"/>
        <v>3.5989717223650075E-3</v>
      </c>
    </row>
    <row r="138" spans="1:3" x14ac:dyDescent="0.25">
      <c r="A138" s="3">
        <v>136</v>
      </c>
      <c r="B138" s="5">
        <f>1+参数!$B$8/100*A138/100</f>
        <v>1.952</v>
      </c>
      <c r="C138" s="6">
        <f t="shared" si="2"/>
        <v>3.5860655737705027E-3</v>
      </c>
    </row>
    <row r="139" spans="1:3" x14ac:dyDescent="0.25">
      <c r="A139" s="3">
        <v>137</v>
      </c>
      <c r="B139" s="5">
        <f>1+参数!$B$8/100*A139/100</f>
        <v>1.9590000000000001</v>
      </c>
      <c r="C139" s="6">
        <f t="shared" si="2"/>
        <v>3.5732516590096797E-3</v>
      </c>
    </row>
    <row r="140" spans="1:3" x14ac:dyDescent="0.25">
      <c r="A140" s="3">
        <v>138</v>
      </c>
      <c r="B140" s="5">
        <f>1+参数!$B$8/100*A140/100</f>
        <v>1.966</v>
      </c>
      <c r="C140" s="6">
        <f t="shared" si="2"/>
        <v>3.5605289928788419E-3</v>
      </c>
    </row>
    <row r="141" spans="1:3" x14ac:dyDescent="0.25">
      <c r="A141" s="3">
        <v>139</v>
      </c>
      <c r="B141" s="5">
        <f>1+参数!$B$8/100*A141/100</f>
        <v>1.9729999999999999</v>
      </c>
      <c r="C141" s="6">
        <f t="shared" si="2"/>
        <v>3.5478966041562199E-3</v>
      </c>
    </row>
    <row r="142" spans="1:3" x14ac:dyDescent="0.25">
      <c r="A142" s="3">
        <v>140</v>
      </c>
      <c r="B142" s="5">
        <f>1+参数!$B$8/100*A142/100</f>
        <v>1.98</v>
      </c>
      <c r="C142" s="6">
        <f t="shared" si="2"/>
        <v>3.5353535353535026E-3</v>
      </c>
    </row>
    <row r="143" spans="1:3" x14ac:dyDescent="0.25">
      <c r="A143" s="3">
        <v>141</v>
      </c>
      <c r="B143" s="5">
        <f>1+参数!$B$8/100*A143/100</f>
        <v>1.9869999999999999</v>
      </c>
      <c r="C143" s="6">
        <f t="shared" si="2"/>
        <v>3.5228988424760299E-3</v>
      </c>
    </row>
    <row r="144" spans="1:3" x14ac:dyDescent="0.25">
      <c r="A144" s="3">
        <v>142</v>
      </c>
      <c r="B144" s="5">
        <f>1+参数!$B$8/100*A144/100</f>
        <v>1.9939999999999998</v>
      </c>
      <c r="C144" s="6">
        <f t="shared" si="2"/>
        <v>3.5105315947843163E-3</v>
      </c>
    </row>
    <row r="145" spans="1:3" x14ac:dyDescent="0.25">
      <c r="A145" s="3">
        <v>143</v>
      </c>
      <c r="B145" s="5">
        <f>1+参数!$B$8/100*A145/100</f>
        <v>2.0009999999999999</v>
      </c>
      <c r="C145" s="6">
        <f t="shared" si="2"/>
        <v>3.4982508745626806E-3</v>
      </c>
    </row>
    <row r="146" spans="1:3" x14ac:dyDescent="0.25">
      <c r="A146" s="3">
        <v>144</v>
      </c>
      <c r="B146" s="5">
        <f>1+参数!$B$8/100*A146/100</f>
        <v>2.008</v>
      </c>
      <c r="C146" s="6">
        <f t="shared" si="2"/>
        <v>3.4860557768923162E-3</v>
      </c>
    </row>
    <row r="147" spans="1:3" x14ac:dyDescent="0.25">
      <c r="A147" s="3">
        <v>145</v>
      </c>
      <c r="B147" s="5">
        <f>1+参数!$B$8/100*A147/100</f>
        <v>2.0149999999999997</v>
      </c>
      <c r="C147" s="6">
        <f t="shared" si="2"/>
        <v>3.4739454094292466E-3</v>
      </c>
    </row>
    <row r="148" spans="1:3" x14ac:dyDescent="0.25">
      <c r="A148" s="3">
        <v>146</v>
      </c>
      <c r="B148" s="5">
        <f>1+参数!$B$8/100*A148/100</f>
        <v>2.0219999999999998</v>
      </c>
      <c r="C148" s="6">
        <f t="shared" si="2"/>
        <v>3.4619188921860555E-3</v>
      </c>
    </row>
    <row r="149" spans="1:3" x14ac:dyDescent="0.25">
      <c r="A149" s="3">
        <v>147</v>
      </c>
      <c r="B149" s="5">
        <f>1+参数!$B$8/100*A149/100</f>
        <v>2.0289999999999999</v>
      </c>
      <c r="C149" s="6">
        <f t="shared" si="2"/>
        <v>3.4499753573189462E-3</v>
      </c>
    </row>
    <row r="150" spans="1:3" x14ac:dyDescent="0.25">
      <c r="A150" s="3">
        <v>148</v>
      </c>
      <c r="B150" s="5">
        <f>1+参数!$B$8/100*A150/100</f>
        <v>2.036</v>
      </c>
      <c r="C150" s="6">
        <f t="shared" si="2"/>
        <v>3.4381139489194634E-3</v>
      </c>
    </row>
    <row r="151" spans="1:3" x14ac:dyDescent="0.25">
      <c r="A151" s="3">
        <v>149</v>
      </c>
      <c r="B151" s="5">
        <f>1+参数!$B$8/100*A151/100</f>
        <v>2.0430000000000001</v>
      </c>
      <c r="C151" s="6">
        <f t="shared" si="2"/>
        <v>3.4263338228093243E-3</v>
      </c>
    </row>
    <row r="152" spans="1:3" x14ac:dyDescent="0.25">
      <c r="A152" s="3">
        <v>150</v>
      </c>
      <c r="B152" s="5">
        <f>1+参数!$B$8/100*A152/100</f>
        <v>2.0499999999999998</v>
      </c>
      <c r="C152" s="6">
        <f t="shared" si="2"/>
        <v>3.4146341463414664E-3</v>
      </c>
    </row>
    <row r="153" spans="1:3" x14ac:dyDescent="0.25">
      <c r="A153" s="3">
        <v>151</v>
      </c>
      <c r="B153" s="5">
        <f>1+参数!$B$8/100*A153/100</f>
        <v>2.0569999999999999</v>
      </c>
      <c r="C153" s="6">
        <f t="shared" si="2"/>
        <v>3.4030140982013179E-3</v>
      </c>
    </row>
    <row r="154" spans="1:3" x14ac:dyDescent="0.25">
      <c r="A154" s="3">
        <v>152</v>
      </c>
      <c r="B154" s="5">
        <f>1+参数!$B$8/100*A154/100</f>
        <v>2.0640000000000001</v>
      </c>
      <c r="C154" s="6">
        <f t="shared" si="2"/>
        <v>3.3914728682169493E-3</v>
      </c>
    </row>
    <row r="155" spans="1:3" x14ac:dyDescent="0.25">
      <c r="A155" s="3">
        <v>153</v>
      </c>
      <c r="B155" s="5">
        <f>1+参数!$B$8/100*A155/100</f>
        <v>2.0709999999999997</v>
      </c>
      <c r="C155" s="6">
        <f t="shared" si="2"/>
        <v>3.3800096571707794E-3</v>
      </c>
    </row>
    <row r="156" spans="1:3" x14ac:dyDescent="0.25">
      <c r="A156" s="3">
        <v>154</v>
      </c>
      <c r="B156" s="5">
        <f>1+参数!$B$8/100*A156/100</f>
        <v>2.0780000000000003</v>
      </c>
      <c r="C156" s="6">
        <f t="shared" si="2"/>
        <v>3.3686236766119482E-3</v>
      </c>
    </row>
    <row r="157" spans="1:3" x14ac:dyDescent="0.25">
      <c r="A157" s="3">
        <v>155</v>
      </c>
      <c r="B157" s="5">
        <f>1+参数!$B$8/100*A157/100</f>
        <v>2.085</v>
      </c>
      <c r="C157" s="6">
        <f t="shared" si="2"/>
        <v>3.3573141486809011E-3</v>
      </c>
    </row>
    <row r="158" spans="1:3" x14ac:dyDescent="0.25">
      <c r="A158" s="3">
        <v>156</v>
      </c>
      <c r="B158" s="5">
        <f>1+参数!$B$8/100*A158/100</f>
        <v>2.0919999999999996</v>
      </c>
      <c r="C158" s="6">
        <f t="shared" si="2"/>
        <v>3.3460803059275346E-3</v>
      </c>
    </row>
    <row r="159" spans="1:3" x14ac:dyDescent="0.25">
      <c r="A159" s="3">
        <v>157</v>
      </c>
      <c r="B159" s="5">
        <f>1+参数!$B$8/100*A159/100</f>
        <v>2.0990000000000002</v>
      </c>
      <c r="C159" s="6">
        <f t="shared" si="2"/>
        <v>3.3349213911384457E-3</v>
      </c>
    </row>
    <row r="160" spans="1:3" x14ac:dyDescent="0.25">
      <c r="A160" s="3">
        <v>158</v>
      </c>
      <c r="B160" s="5">
        <f>1+参数!$B$8/100*A160/100</f>
        <v>2.1059999999999999</v>
      </c>
      <c r="C160" s="6">
        <f t="shared" si="2"/>
        <v>3.323836657169954E-3</v>
      </c>
    </row>
    <row r="161" spans="1:3" x14ac:dyDescent="0.25">
      <c r="A161" s="3">
        <v>159</v>
      </c>
      <c r="B161" s="5">
        <f>1+参数!$B$8/100*A161/100</f>
        <v>2.113</v>
      </c>
      <c r="C161" s="6">
        <f t="shared" si="2"/>
        <v>3.3128253667771279E-3</v>
      </c>
    </row>
    <row r="162" spans="1:3" x14ac:dyDescent="0.25">
      <c r="A162" s="3">
        <v>160</v>
      </c>
      <c r="B162" s="5">
        <f>1+参数!$B$8/100*A162/100</f>
        <v>2.12</v>
      </c>
      <c r="C162" s="6">
        <f t="shared" si="2"/>
        <v>3.3018867924525797E-3</v>
      </c>
    </row>
    <row r="163" spans="1:3" x14ac:dyDescent="0.25">
      <c r="A163" s="3">
        <v>161</v>
      </c>
      <c r="B163" s="5">
        <f>1+参数!$B$8/100*A163/100</f>
        <v>2.1269999999999998</v>
      </c>
      <c r="C163" s="6">
        <f t="shared" si="2"/>
        <v>3.2910202162670377E-3</v>
      </c>
    </row>
    <row r="164" spans="1:3" x14ac:dyDescent="0.25">
      <c r="A164" s="3">
        <v>162</v>
      </c>
      <c r="B164" s="5">
        <f>1+参数!$B$8/100*A164/100</f>
        <v>2.1339999999999999</v>
      </c>
      <c r="C164" s="6">
        <f t="shared" si="2"/>
        <v>3.2802249297094743E-3</v>
      </c>
    </row>
    <row r="165" spans="1:3" x14ac:dyDescent="0.25">
      <c r="A165" s="3">
        <v>163</v>
      </c>
      <c r="B165" s="5">
        <f>1+参数!$B$8/100*A165/100</f>
        <v>2.141</v>
      </c>
      <c r="C165" s="6">
        <f t="shared" si="2"/>
        <v>3.2695002335356715E-3</v>
      </c>
    </row>
    <row r="166" spans="1:3" x14ac:dyDescent="0.25">
      <c r="A166" s="3">
        <v>164</v>
      </c>
      <c r="B166" s="5">
        <f>1+参数!$B$8/100*A166/100</f>
        <v>2.1479999999999997</v>
      </c>
      <c r="C166" s="6">
        <f t="shared" si="2"/>
        <v>3.2588454376163423E-3</v>
      </c>
    </row>
    <row r="167" spans="1:3" x14ac:dyDescent="0.25">
      <c r="A167" s="3">
        <v>165</v>
      </c>
      <c r="B167" s="5">
        <f>1+参数!$B$8/100*A167/100</f>
        <v>2.1549999999999998</v>
      </c>
      <c r="C167" s="6">
        <f t="shared" si="2"/>
        <v>3.2482598607890267E-3</v>
      </c>
    </row>
    <row r="168" spans="1:3" x14ac:dyDescent="0.25">
      <c r="A168" s="3">
        <v>166</v>
      </c>
      <c r="B168" s="5">
        <f>1+参数!$B$8/100*A168/100</f>
        <v>2.1619999999999999</v>
      </c>
      <c r="C168" s="6">
        <f t="shared" si="2"/>
        <v>3.2377428307122091E-3</v>
      </c>
    </row>
    <row r="169" spans="1:3" x14ac:dyDescent="0.25">
      <c r="A169" s="3">
        <v>167</v>
      </c>
      <c r="B169" s="5">
        <f>1+参数!$B$8/100*A169/100</f>
        <v>2.1689999999999996</v>
      </c>
      <c r="C169" s="6">
        <f t="shared" si="2"/>
        <v>3.2272936837254296E-3</v>
      </c>
    </row>
    <row r="170" spans="1:3" x14ac:dyDescent="0.25">
      <c r="A170" s="3">
        <v>168</v>
      </c>
      <c r="B170" s="5">
        <f>1+参数!$B$8/100*A170/100</f>
        <v>2.1760000000000002</v>
      </c>
      <c r="C170" s="6">
        <f t="shared" si="2"/>
        <v>3.2169117647056211E-3</v>
      </c>
    </row>
    <row r="171" spans="1:3" x14ac:dyDescent="0.25">
      <c r="A171" s="3">
        <v>169</v>
      </c>
      <c r="B171" s="5">
        <f>1+参数!$B$8/100*A171/100</f>
        <v>2.1829999999999998</v>
      </c>
      <c r="C171" s="6">
        <f t="shared" si="2"/>
        <v>3.2065964269354374E-3</v>
      </c>
    </row>
    <row r="172" spans="1:3" x14ac:dyDescent="0.25">
      <c r="A172" s="3">
        <v>170</v>
      </c>
      <c r="B172" s="5">
        <f>1+参数!$B$8/100*A172/100</f>
        <v>2.19</v>
      </c>
      <c r="C172" s="6">
        <f t="shared" si="2"/>
        <v>3.1963470319635867E-3</v>
      </c>
    </row>
    <row r="173" spans="1:3" x14ac:dyDescent="0.25">
      <c r="A173" s="3">
        <v>171</v>
      </c>
      <c r="B173" s="5">
        <f>1+参数!$B$8/100*A173/100</f>
        <v>2.1970000000000001</v>
      </c>
      <c r="C173" s="6">
        <f t="shared" si="2"/>
        <v>3.1861629494764898E-3</v>
      </c>
    </row>
    <row r="174" spans="1:3" x14ac:dyDescent="0.25">
      <c r="A174" s="3">
        <v>172</v>
      </c>
      <c r="B174" s="5">
        <f>1+参数!$B$8/100*A174/100</f>
        <v>2.2039999999999997</v>
      </c>
      <c r="C174" s="6">
        <f t="shared" si="2"/>
        <v>3.1760435571688284E-3</v>
      </c>
    </row>
    <row r="175" spans="1:3" x14ac:dyDescent="0.25">
      <c r="A175" s="3">
        <v>173</v>
      </c>
      <c r="B175" s="5">
        <f>1+参数!$B$8/100*A175/100</f>
        <v>2.2109999999999999</v>
      </c>
      <c r="C175" s="6">
        <f t="shared" si="2"/>
        <v>3.1659882406152029E-3</v>
      </c>
    </row>
    <row r="176" spans="1:3" x14ac:dyDescent="0.25">
      <c r="A176" s="3">
        <v>174</v>
      </c>
      <c r="B176" s="5">
        <f>1+参数!$B$8/100*A176/100</f>
        <v>2.218</v>
      </c>
      <c r="C176" s="6">
        <f t="shared" si="2"/>
        <v>3.1559963931468982E-3</v>
      </c>
    </row>
    <row r="177" spans="1:3" x14ac:dyDescent="0.25">
      <c r="A177" s="3">
        <v>175</v>
      </c>
      <c r="B177" s="5">
        <f>1+参数!$B$8/100*A177/100</f>
        <v>2.2249999999999996</v>
      </c>
      <c r="C177" s="6">
        <f t="shared" si="2"/>
        <v>3.1460674157306467E-3</v>
      </c>
    </row>
    <row r="178" spans="1:3" x14ac:dyDescent="0.25">
      <c r="A178" s="3">
        <v>176</v>
      </c>
      <c r="B178" s="5">
        <f>1+参数!$B$8/100*A178/100</f>
        <v>2.2320000000000002</v>
      </c>
      <c r="C178" s="6">
        <f t="shared" si="2"/>
        <v>3.1362007168458383E-3</v>
      </c>
    </row>
    <row r="179" spans="1:3" x14ac:dyDescent="0.25">
      <c r="A179" s="3">
        <v>177</v>
      </c>
      <c r="B179" s="5">
        <f>1+参数!$B$8/100*A179/100</f>
        <v>2.2389999999999999</v>
      </c>
      <c r="C179" s="6">
        <f t="shared" si="2"/>
        <v>3.1263957123717212E-3</v>
      </c>
    </row>
    <row r="180" spans="1:3" x14ac:dyDescent="0.25">
      <c r="A180" s="3">
        <v>178</v>
      </c>
      <c r="B180" s="5">
        <f>1+参数!$B$8/100*A180/100</f>
        <v>2.246</v>
      </c>
      <c r="C180" s="6">
        <f t="shared" si="2"/>
        <v>3.116651825467498E-3</v>
      </c>
    </row>
    <row r="181" spans="1:3" x14ac:dyDescent="0.25">
      <c r="A181" s="3">
        <v>179</v>
      </c>
      <c r="B181" s="5">
        <f>1+参数!$B$8/100*A181/100</f>
        <v>2.2530000000000001</v>
      </c>
      <c r="C181" s="6">
        <f t="shared" si="2"/>
        <v>3.1069684864624136E-3</v>
      </c>
    </row>
    <row r="182" spans="1:3" x14ac:dyDescent="0.25">
      <c r="A182" s="3">
        <v>180</v>
      </c>
      <c r="B182" s="5">
        <f>1+参数!$B$8/100*A182/100</f>
        <v>2.2599999999999998</v>
      </c>
      <c r="C182" s="6">
        <f t="shared" si="2"/>
        <v>3.097345132743401E-3</v>
      </c>
    </row>
    <row r="183" spans="1:3" x14ac:dyDescent="0.25">
      <c r="A183" s="3">
        <v>181</v>
      </c>
      <c r="B183" s="5">
        <f>1+参数!$B$8/100*A183/100</f>
        <v>2.2669999999999999</v>
      </c>
      <c r="C183" s="6">
        <f t="shared" si="2"/>
        <v>3.0877812086458345E-3</v>
      </c>
    </row>
    <row r="184" spans="1:3" x14ac:dyDescent="0.25">
      <c r="A184" s="3">
        <v>182</v>
      </c>
      <c r="B184" s="5">
        <f>1+参数!$B$8/100*A184/100</f>
        <v>2.274</v>
      </c>
      <c r="C184" s="6">
        <f t="shared" si="2"/>
        <v>3.0782761653471713E-3</v>
      </c>
    </row>
    <row r="185" spans="1:3" x14ac:dyDescent="0.25">
      <c r="A185" s="3">
        <v>183</v>
      </c>
      <c r="B185" s="5">
        <f>1+参数!$B$8/100*A185/100</f>
        <v>2.2809999999999997</v>
      </c>
      <c r="C185" s="6">
        <f t="shared" si="2"/>
        <v>3.0688294607628119E-3</v>
      </c>
    </row>
    <row r="186" spans="1:3" x14ac:dyDescent="0.25">
      <c r="A186" s="3">
        <v>184</v>
      </c>
      <c r="B186" s="5">
        <f>1+参数!$B$8/100*A186/100</f>
        <v>2.2879999999999998</v>
      </c>
      <c r="C186" s="6">
        <f t="shared" si="2"/>
        <v>3.0594405594406293E-3</v>
      </c>
    </row>
    <row r="187" spans="1:3" x14ac:dyDescent="0.25">
      <c r="A187" s="3">
        <v>185</v>
      </c>
      <c r="B187" s="5">
        <f>1+参数!$B$8/100*A187/100</f>
        <v>2.2949999999999999</v>
      </c>
      <c r="C187" s="6">
        <f t="shared" si="2"/>
        <v>3.0501089324617148E-3</v>
      </c>
    </row>
    <row r="188" spans="1:3" x14ac:dyDescent="0.25">
      <c r="A188" s="3">
        <v>186</v>
      </c>
      <c r="B188" s="5">
        <f>1+参数!$B$8/100*A188/100</f>
        <v>2.3019999999999996</v>
      </c>
      <c r="C188" s="6">
        <f t="shared" si="2"/>
        <v>3.0408340573417902E-3</v>
      </c>
    </row>
    <row r="189" spans="1:3" x14ac:dyDescent="0.25">
      <c r="A189" s="3">
        <v>187</v>
      </c>
      <c r="B189" s="5">
        <f>1+参数!$B$8/100*A189/100</f>
        <v>2.3090000000000002</v>
      </c>
      <c r="C189" s="6">
        <f t="shared" si="2"/>
        <v>3.0316154179297339E-3</v>
      </c>
    </row>
    <row r="190" spans="1:3" x14ac:dyDescent="0.25">
      <c r="A190" s="3">
        <v>188</v>
      </c>
      <c r="B190" s="5">
        <f>1+参数!$B$8/100*A190/100</f>
        <v>2.3159999999999998</v>
      </c>
      <c r="C190" s="6">
        <f t="shared" si="2"/>
        <v>3.022452504317652E-3</v>
      </c>
    </row>
    <row r="191" spans="1:3" x14ac:dyDescent="0.25">
      <c r="A191" s="3">
        <v>189</v>
      </c>
      <c r="B191" s="5">
        <f>1+参数!$B$8/100*A191/100</f>
        <v>2.3229999999999995</v>
      </c>
      <c r="C191" s="6">
        <f t="shared" si="2"/>
        <v>3.0133448127422913E-3</v>
      </c>
    </row>
    <row r="192" spans="1:3" x14ac:dyDescent="0.25">
      <c r="A192" s="3">
        <v>190</v>
      </c>
      <c r="B192" s="5">
        <f>1+参数!$B$8/100*A192/100</f>
        <v>2.33</v>
      </c>
      <c r="C192" s="6">
        <f t="shared" si="2"/>
        <v>3.0042918454933343E-3</v>
      </c>
    </row>
    <row r="193" spans="1:3" x14ac:dyDescent="0.25">
      <c r="A193" s="3">
        <v>191</v>
      </c>
      <c r="B193" s="5">
        <f>1+参数!$B$8/100*A193/100</f>
        <v>2.3369999999999997</v>
      </c>
      <c r="C193" s="6">
        <f t="shared" si="2"/>
        <v>2.995293110825914E-3</v>
      </c>
    </row>
    <row r="194" spans="1:3" x14ac:dyDescent="0.25">
      <c r="A194" s="3">
        <v>192</v>
      </c>
      <c r="B194" s="5">
        <f>1+参数!$B$8/100*A194/100</f>
        <v>2.3439999999999999</v>
      </c>
      <c r="C194" s="6">
        <f t="shared" ref="C194:C257" si="3">B195/B194-1</f>
        <v>2.9863481228669109E-3</v>
      </c>
    </row>
    <row r="195" spans="1:3" x14ac:dyDescent="0.25">
      <c r="A195" s="3">
        <v>193</v>
      </c>
      <c r="B195" s="5">
        <f>1+参数!$B$8/100*A195/100</f>
        <v>2.351</v>
      </c>
      <c r="C195" s="6">
        <f t="shared" si="3"/>
        <v>2.9774564015310201E-3</v>
      </c>
    </row>
    <row r="196" spans="1:3" x14ac:dyDescent="0.25">
      <c r="A196" s="3">
        <v>194</v>
      </c>
      <c r="B196" s="5">
        <f>1+参数!$B$8/100*A196/100</f>
        <v>2.3579999999999997</v>
      </c>
      <c r="C196" s="6">
        <f t="shared" si="3"/>
        <v>2.9686174724345982E-3</v>
      </c>
    </row>
    <row r="197" spans="1:3" x14ac:dyDescent="0.25">
      <c r="A197" s="3">
        <v>195</v>
      </c>
      <c r="B197" s="5">
        <f>1+参数!$B$8/100*A197/100</f>
        <v>2.3650000000000002</v>
      </c>
      <c r="C197" s="6">
        <f t="shared" si="3"/>
        <v>2.9598308668075113E-3</v>
      </c>
    </row>
    <row r="198" spans="1:3" x14ac:dyDescent="0.25">
      <c r="A198" s="3">
        <v>196</v>
      </c>
      <c r="B198" s="5">
        <f>1+参数!$B$8/100*A198/100</f>
        <v>2.3719999999999999</v>
      </c>
      <c r="C198" s="6">
        <f t="shared" si="3"/>
        <v>2.9510961214163078E-3</v>
      </c>
    </row>
    <row r="199" spans="1:3" x14ac:dyDescent="0.25">
      <c r="A199" s="3">
        <v>197</v>
      </c>
      <c r="B199" s="5">
        <f>1+参数!$B$8/100*A199/100</f>
        <v>2.3789999999999996</v>
      </c>
      <c r="C199" s="6">
        <f t="shared" si="3"/>
        <v>2.9424127784785092E-3</v>
      </c>
    </row>
    <row r="200" spans="1:3" x14ac:dyDescent="0.25">
      <c r="A200" s="3">
        <v>198</v>
      </c>
      <c r="B200" s="5">
        <f>1+参数!$B$8/100*A200/100</f>
        <v>2.3860000000000001</v>
      </c>
      <c r="C200" s="6">
        <f t="shared" si="3"/>
        <v>2.9337803855824518E-3</v>
      </c>
    </row>
    <row r="201" spans="1:3" x14ac:dyDescent="0.25">
      <c r="A201" s="3">
        <v>199</v>
      </c>
      <c r="B201" s="5">
        <f>1+参数!$B$8/100*A201/100</f>
        <v>2.3929999999999998</v>
      </c>
      <c r="C201" s="6">
        <f t="shared" si="3"/>
        <v>2.9251984956122357E-3</v>
      </c>
    </row>
    <row r="202" spans="1:3" x14ac:dyDescent="0.25">
      <c r="A202" s="3">
        <v>200</v>
      </c>
      <c r="B202" s="5">
        <f>1+参数!$B$8/100*A202/100</f>
        <v>2.4</v>
      </c>
      <c r="C202" s="6">
        <f t="shared" si="3"/>
        <v>2.9166666666666785E-3</v>
      </c>
    </row>
    <row r="203" spans="1:3" x14ac:dyDescent="0.25">
      <c r="A203" s="3">
        <v>201</v>
      </c>
      <c r="B203" s="5">
        <f>1+参数!$B$8/100*A203/100</f>
        <v>2.407</v>
      </c>
      <c r="C203" s="6">
        <f t="shared" si="3"/>
        <v>2.9081844619858188E-3</v>
      </c>
    </row>
    <row r="204" spans="1:3" x14ac:dyDescent="0.25">
      <c r="A204" s="3">
        <v>202</v>
      </c>
      <c r="B204" s="5">
        <f>1+参数!$B$8/100*A204/100</f>
        <v>2.4139999999999997</v>
      </c>
      <c r="C204" s="6">
        <f t="shared" si="3"/>
        <v>2.8997514498758648E-3</v>
      </c>
    </row>
    <row r="205" spans="1:3" x14ac:dyDescent="0.25">
      <c r="A205" s="3">
        <v>203</v>
      </c>
      <c r="B205" s="5">
        <f>1+参数!$B$8/100*A205/100</f>
        <v>2.4210000000000003</v>
      </c>
      <c r="C205" s="6">
        <f t="shared" si="3"/>
        <v>2.8913672036348093E-3</v>
      </c>
    </row>
    <row r="206" spans="1:3" x14ac:dyDescent="0.25">
      <c r="A206" s="3">
        <v>204</v>
      </c>
      <c r="B206" s="5">
        <f>1+参数!$B$8/100*A206/100</f>
        <v>2.4279999999999999</v>
      </c>
      <c r="C206" s="6">
        <f t="shared" si="3"/>
        <v>2.883031301482708E-3</v>
      </c>
    </row>
    <row r="207" spans="1:3" x14ac:dyDescent="0.25">
      <c r="A207" s="3">
        <v>205</v>
      </c>
      <c r="B207" s="5">
        <f>1+参数!$B$8/100*A207/100</f>
        <v>2.4350000000000001</v>
      </c>
      <c r="C207" s="6">
        <f t="shared" si="3"/>
        <v>2.8747433264888489E-3</v>
      </c>
    </row>
    <row r="208" spans="1:3" x14ac:dyDescent="0.25">
      <c r="A208" s="3">
        <v>206</v>
      </c>
      <c r="B208" s="5">
        <f>1+参数!$B$8/100*A208/100</f>
        <v>2.4420000000000002</v>
      </c>
      <c r="C208" s="6">
        <f t="shared" si="3"/>
        <v>2.8665028665026959E-3</v>
      </c>
    </row>
    <row r="209" spans="1:3" x14ac:dyDescent="0.25">
      <c r="A209" s="3">
        <v>207</v>
      </c>
      <c r="B209" s="5">
        <f>1+参数!$B$8/100*A209/100</f>
        <v>2.4489999999999998</v>
      </c>
      <c r="C209" s="6">
        <f t="shared" si="3"/>
        <v>2.8583095140874981E-3</v>
      </c>
    </row>
    <row r="210" spans="1:3" x14ac:dyDescent="0.25">
      <c r="A210" s="3">
        <v>208</v>
      </c>
      <c r="B210" s="5">
        <f>1+参数!$B$8/100*A210/100</f>
        <v>2.456</v>
      </c>
      <c r="C210" s="6">
        <f t="shared" si="3"/>
        <v>2.8501628664494572E-3</v>
      </c>
    </row>
    <row r="211" spans="1:3" x14ac:dyDescent="0.25">
      <c r="A211" s="3">
        <v>209</v>
      </c>
      <c r="B211" s="5">
        <f>1+参数!$B$8/100*A211/100</f>
        <v>2.4630000000000001</v>
      </c>
      <c r="C211" s="6">
        <f t="shared" si="3"/>
        <v>2.8420625253753329E-3</v>
      </c>
    </row>
    <row r="212" spans="1:3" x14ac:dyDescent="0.25">
      <c r="A212" s="3">
        <v>210</v>
      </c>
      <c r="B212" s="5">
        <f>1+参数!$B$8/100*A212/100</f>
        <v>2.4699999999999998</v>
      </c>
      <c r="C212" s="6">
        <f t="shared" si="3"/>
        <v>2.834008097166052E-3</v>
      </c>
    </row>
    <row r="213" spans="1:3" x14ac:dyDescent="0.25">
      <c r="A213" s="3">
        <v>211</v>
      </c>
      <c r="B213" s="5">
        <f>1+参数!$B$8/100*A213/100</f>
        <v>2.4769999999999999</v>
      </c>
      <c r="C213" s="6">
        <f t="shared" si="3"/>
        <v>2.8259991925716488E-3</v>
      </c>
    </row>
    <row r="214" spans="1:3" x14ac:dyDescent="0.25">
      <c r="A214" s="3">
        <v>212</v>
      </c>
      <c r="B214" s="5">
        <f>1+参数!$B$8/100*A214/100</f>
        <v>2.484</v>
      </c>
      <c r="C214" s="6">
        <f t="shared" si="3"/>
        <v>2.8180354267308694E-3</v>
      </c>
    </row>
    <row r="215" spans="1:3" x14ac:dyDescent="0.25">
      <c r="A215" s="3">
        <v>213</v>
      </c>
      <c r="B215" s="5">
        <f>1+参数!$B$8/100*A215/100</f>
        <v>2.4909999999999997</v>
      </c>
      <c r="C215" s="6">
        <f t="shared" si="3"/>
        <v>2.8101164191087769E-3</v>
      </c>
    </row>
    <row r="216" spans="1:3" x14ac:dyDescent="0.25">
      <c r="A216" s="3">
        <v>214</v>
      </c>
      <c r="B216" s="5">
        <f>1+参数!$B$8/100*A216/100</f>
        <v>2.4979999999999998</v>
      </c>
      <c r="C216" s="6">
        <f t="shared" si="3"/>
        <v>2.802241793434801E-3</v>
      </c>
    </row>
    <row r="217" spans="1:3" x14ac:dyDescent="0.25">
      <c r="A217" s="3">
        <v>215</v>
      </c>
      <c r="B217" s="5">
        <f>1+参数!$B$8/100*A217/100</f>
        <v>2.5049999999999999</v>
      </c>
      <c r="C217" s="6">
        <f t="shared" si="3"/>
        <v>2.7944111776445624E-3</v>
      </c>
    </row>
    <row r="218" spans="1:3" x14ac:dyDescent="0.25">
      <c r="A218" s="3">
        <v>216</v>
      </c>
      <c r="B218" s="5">
        <f>1+参数!$B$8/100*A218/100</f>
        <v>2.5119999999999996</v>
      </c>
      <c r="C218" s="6">
        <f t="shared" si="3"/>
        <v>2.7866242038216971E-3</v>
      </c>
    </row>
    <row r="219" spans="1:3" x14ac:dyDescent="0.25">
      <c r="A219" s="3">
        <v>217</v>
      </c>
      <c r="B219" s="5">
        <f>1+参数!$B$8/100*A219/100</f>
        <v>2.5189999999999997</v>
      </c>
      <c r="C219" s="6">
        <f t="shared" si="3"/>
        <v>2.7788805081381263E-3</v>
      </c>
    </row>
    <row r="220" spans="1:3" x14ac:dyDescent="0.25">
      <c r="A220" s="3">
        <v>218</v>
      </c>
      <c r="B220" s="5">
        <f>1+参数!$B$8/100*A220/100</f>
        <v>2.5259999999999998</v>
      </c>
      <c r="C220" s="6">
        <f t="shared" si="3"/>
        <v>2.7711797307996555E-3</v>
      </c>
    </row>
    <row r="221" spans="1:3" x14ac:dyDescent="0.25">
      <c r="A221" s="3">
        <v>219</v>
      </c>
      <c r="B221" s="5">
        <f>1+参数!$B$8/100*A221/100</f>
        <v>2.5329999999999999</v>
      </c>
      <c r="C221" s="6">
        <f t="shared" si="3"/>
        <v>2.7635215159889093E-3</v>
      </c>
    </row>
    <row r="222" spans="1:3" x14ac:dyDescent="0.25">
      <c r="A222" s="3">
        <v>220</v>
      </c>
      <c r="B222" s="5">
        <f>1+参数!$B$8/100*A222/100</f>
        <v>2.54</v>
      </c>
      <c r="C222" s="6">
        <f t="shared" si="3"/>
        <v>2.7559055118109299E-3</v>
      </c>
    </row>
    <row r="223" spans="1:3" x14ac:dyDescent="0.25">
      <c r="A223" s="3">
        <v>221</v>
      </c>
      <c r="B223" s="5">
        <f>1+参数!$B$8/100*A223/100</f>
        <v>2.5469999999999997</v>
      </c>
      <c r="C223" s="6">
        <f t="shared" si="3"/>
        <v>2.748331370239443E-3</v>
      </c>
    </row>
    <row r="224" spans="1:3" x14ac:dyDescent="0.25">
      <c r="A224" s="3">
        <v>222</v>
      </c>
      <c r="B224" s="5">
        <f>1+参数!$B$8/100*A224/100</f>
        <v>2.5539999999999998</v>
      </c>
      <c r="C224" s="6">
        <f t="shared" si="3"/>
        <v>2.7407987470635664E-3</v>
      </c>
    </row>
    <row r="225" spans="1:3" x14ac:dyDescent="0.25">
      <c r="A225" s="3">
        <v>223</v>
      </c>
      <c r="B225" s="5">
        <f>1+参数!$B$8/100*A225/100</f>
        <v>2.5609999999999999</v>
      </c>
      <c r="C225" s="6">
        <f t="shared" si="3"/>
        <v>2.7333073018351861E-3</v>
      </c>
    </row>
    <row r="226" spans="1:3" x14ac:dyDescent="0.25">
      <c r="A226" s="3">
        <v>224</v>
      </c>
      <c r="B226" s="5">
        <f>1+参数!$B$8/100*A226/100</f>
        <v>2.5679999999999996</v>
      </c>
      <c r="C226" s="6">
        <f t="shared" si="3"/>
        <v>2.7258566978194398E-3</v>
      </c>
    </row>
    <row r="227" spans="1:3" x14ac:dyDescent="0.25">
      <c r="A227" s="3">
        <v>225</v>
      </c>
      <c r="B227" s="5">
        <f>1+参数!$B$8/100*A227/100</f>
        <v>2.5750000000000002</v>
      </c>
      <c r="C227" s="6">
        <f t="shared" si="3"/>
        <v>2.7184466019416487E-3</v>
      </c>
    </row>
    <row r="228" spans="1:3" x14ac:dyDescent="0.25">
      <c r="A228" s="3">
        <v>226</v>
      </c>
      <c r="B228" s="5">
        <f>1+参数!$B$8/100*A228/100</f>
        <v>2.5819999999999999</v>
      </c>
      <c r="C228" s="6">
        <f t="shared" si="3"/>
        <v>2.7110766847404655E-3</v>
      </c>
    </row>
    <row r="229" spans="1:3" x14ac:dyDescent="0.25">
      <c r="A229" s="3">
        <v>227</v>
      </c>
      <c r="B229" s="5">
        <f>1+参数!$B$8/100*A229/100</f>
        <v>2.5889999999999995</v>
      </c>
      <c r="C229" s="6">
        <f t="shared" si="3"/>
        <v>2.7037466203170268E-3</v>
      </c>
    </row>
    <row r="230" spans="1:3" x14ac:dyDescent="0.25">
      <c r="A230" s="3">
        <v>228</v>
      </c>
      <c r="B230" s="5">
        <f>1+参数!$B$8/100*A230/100</f>
        <v>2.5960000000000001</v>
      </c>
      <c r="C230" s="6">
        <f t="shared" si="3"/>
        <v>2.6964560862865472E-3</v>
      </c>
    </row>
    <row r="231" spans="1:3" x14ac:dyDescent="0.25">
      <c r="A231" s="3">
        <v>229</v>
      </c>
      <c r="B231" s="5">
        <f>1+参数!$B$8/100*A231/100</f>
        <v>2.6029999999999998</v>
      </c>
      <c r="C231" s="6">
        <f t="shared" si="3"/>
        <v>2.6892047637343541E-3</v>
      </c>
    </row>
    <row r="232" spans="1:3" x14ac:dyDescent="0.25">
      <c r="A232" s="3">
        <v>230</v>
      </c>
      <c r="B232" s="5">
        <f>1+参数!$B$8/100*A232/100</f>
        <v>2.6100000000000003</v>
      </c>
      <c r="C232" s="6">
        <f t="shared" si="3"/>
        <v>2.681992337164596E-3</v>
      </c>
    </row>
    <row r="233" spans="1:3" x14ac:dyDescent="0.25">
      <c r="A233" s="3">
        <v>231</v>
      </c>
      <c r="B233" s="5">
        <f>1+参数!$B$8/100*A233/100</f>
        <v>2.617</v>
      </c>
      <c r="C233" s="6">
        <f t="shared" si="3"/>
        <v>2.6748184944591635E-3</v>
      </c>
    </row>
    <row r="234" spans="1:3" x14ac:dyDescent="0.25">
      <c r="A234" s="3">
        <v>232</v>
      </c>
      <c r="B234" s="5">
        <f>1+参数!$B$8/100*A234/100</f>
        <v>2.6239999999999997</v>
      </c>
      <c r="C234" s="6">
        <f t="shared" si="3"/>
        <v>2.6676829268295066E-3</v>
      </c>
    </row>
    <row r="235" spans="1:3" x14ac:dyDescent="0.25">
      <c r="A235" s="3">
        <v>233</v>
      </c>
      <c r="B235" s="5">
        <f>1+参数!$B$8/100*A235/100</f>
        <v>2.6310000000000002</v>
      </c>
      <c r="C235" s="6">
        <f t="shared" si="3"/>
        <v>2.6605853287722248E-3</v>
      </c>
    </row>
    <row r="236" spans="1:3" x14ac:dyDescent="0.25">
      <c r="A236" s="3">
        <v>234</v>
      </c>
      <c r="B236" s="5">
        <f>1+参数!$B$8/100*A236/100</f>
        <v>2.6379999999999999</v>
      </c>
      <c r="C236" s="6">
        <f t="shared" si="3"/>
        <v>2.6535253980288775E-3</v>
      </c>
    </row>
    <row r="237" spans="1:3" x14ac:dyDescent="0.25">
      <c r="A237" s="3">
        <v>235</v>
      </c>
      <c r="B237" s="5">
        <f>1+参数!$B$8/100*A237/100</f>
        <v>2.645</v>
      </c>
      <c r="C237" s="6">
        <f t="shared" si="3"/>
        <v>2.6465028355386888E-3</v>
      </c>
    </row>
    <row r="238" spans="1:3" x14ac:dyDescent="0.25">
      <c r="A238" s="3">
        <v>236</v>
      </c>
      <c r="B238" s="5">
        <f>1+参数!$B$8/100*A238/100</f>
        <v>2.6520000000000001</v>
      </c>
      <c r="C238" s="6">
        <f t="shared" si="3"/>
        <v>2.6395173453994669E-3</v>
      </c>
    </row>
    <row r="239" spans="1:3" x14ac:dyDescent="0.25">
      <c r="A239" s="3">
        <v>237</v>
      </c>
      <c r="B239" s="5">
        <f>1+参数!$B$8/100*A239/100</f>
        <v>2.6589999999999998</v>
      </c>
      <c r="C239" s="6">
        <f t="shared" si="3"/>
        <v>2.6325686348251942E-3</v>
      </c>
    </row>
    <row r="240" spans="1:3" x14ac:dyDescent="0.25">
      <c r="A240" s="3">
        <v>238</v>
      </c>
      <c r="B240" s="5">
        <f>1+参数!$B$8/100*A240/100</f>
        <v>2.6659999999999999</v>
      </c>
      <c r="C240" s="6">
        <f t="shared" si="3"/>
        <v>2.6256564141036165E-3</v>
      </c>
    </row>
    <row r="241" spans="1:3" x14ac:dyDescent="0.25">
      <c r="A241" s="3">
        <v>239</v>
      </c>
      <c r="B241" s="5">
        <f>1+参数!$B$8/100*A241/100</f>
        <v>2.673</v>
      </c>
      <c r="C241" s="6">
        <f t="shared" si="3"/>
        <v>2.6187803965580514E-3</v>
      </c>
    </row>
    <row r="242" spans="1:3" x14ac:dyDescent="0.25">
      <c r="A242" s="3">
        <v>240</v>
      </c>
      <c r="B242" s="5">
        <f>1+参数!$B$8/100*A242/100</f>
        <v>2.6799999999999997</v>
      </c>
      <c r="C242" s="6">
        <f t="shared" si="3"/>
        <v>2.6119402985074203E-3</v>
      </c>
    </row>
    <row r="243" spans="1:3" x14ac:dyDescent="0.25">
      <c r="A243" s="3">
        <v>241</v>
      </c>
      <c r="B243" s="5">
        <f>1+参数!$B$8/100*A243/100</f>
        <v>2.6869999999999998</v>
      </c>
      <c r="C243" s="6">
        <f t="shared" si="3"/>
        <v>2.6051358392258361E-3</v>
      </c>
    </row>
    <row r="244" spans="1:3" x14ac:dyDescent="0.25">
      <c r="A244" s="3">
        <v>242</v>
      </c>
      <c r="B244" s="5">
        <f>1+参数!$B$8/100*A244/100</f>
        <v>2.694</v>
      </c>
      <c r="C244" s="6">
        <f t="shared" si="3"/>
        <v>2.5983667409055222E-3</v>
      </c>
    </row>
    <row r="245" spans="1:3" x14ac:dyDescent="0.25">
      <c r="A245" s="3">
        <v>243</v>
      </c>
      <c r="B245" s="5">
        <f>1+参数!$B$8/100*A245/100</f>
        <v>2.7009999999999996</v>
      </c>
      <c r="C245" s="6">
        <f t="shared" si="3"/>
        <v>2.5916327286190644E-3</v>
      </c>
    </row>
    <row r="246" spans="1:3" x14ac:dyDescent="0.25">
      <c r="A246" s="3">
        <v>244</v>
      </c>
      <c r="B246" s="5">
        <f>1+参数!$B$8/100*A246/100</f>
        <v>2.7079999999999997</v>
      </c>
      <c r="C246" s="6">
        <f t="shared" si="3"/>
        <v>2.5849335302807752E-3</v>
      </c>
    </row>
    <row r="247" spans="1:3" x14ac:dyDescent="0.25">
      <c r="A247" s="3">
        <v>245</v>
      </c>
      <c r="B247" s="5">
        <f>1+参数!$B$8/100*A247/100</f>
        <v>2.7149999999999999</v>
      </c>
      <c r="C247" s="6">
        <f t="shared" si="3"/>
        <v>2.5782688766113893E-3</v>
      </c>
    </row>
    <row r="248" spans="1:3" x14ac:dyDescent="0.25">
      <c r="A248" s="3">
        <v>246</v>
      </c>
      <c r="B248" s="5">
        <f>1+参数!$B$8/100*A248/100</f>
        <v>2.722</v>
      </c>
      <c r="C248" s="6">
        <f t="shared" si="3"/>
        <v>2.5716385011020915E-3</v>
      </c>
    </row>
    <row r="249" spans="1:3" x14ac:dyDescent="0.25">
      <c r="A249" s="3">
        <v>247</v>
      </c>
      <c r="B249" s="5">
        <f>1+参数!$B$8/100*A249/100</f>
        <v>2.7290000000000001</v>
      </c>
      <c r="C249" s="6">
        <f t="shared" si="3"/>
        <v>2.56504213997788E-3</v>
      </c>
    </row>
    <row r="250" spans="1:3" x14ac:dyDescent="0.25">
      <c r="A250" s="3">
        <v>248</v>
      </c>
      <c r="B250" s="5">
        <f>1+参数!$B$8/100*A250/100</f>
        <v>2.7359999999999998</v>
      </c>
      <c r="C250" s="6">
        <f t="shared" si="3"/>
        <v>2.5584795321638154E-3</v>
      </c>
    </row>
    <row r="251" spans="1:3" x14ac:dyDescent="0.25">
      <c r="A251" s="3">
        <v>249</v>
      </c>
      <c r="B251" s="5">
        <f>1+参数!$B$8/100*A251/100</f>
        <v>2.7429999999999999</v>
      </c>
      <c r="C251" s="6">
        <f t="shared" si="3"/>
        <v>2.5519504192490494E-3</v>
      </c>
    </row>
    <row r="252" spans="1:3" x14ac:dyDescent="0.25">
      <c r="A252" s="3">
        <v>250</v>
      </c>
      <c r="B252" s="5">
        <f>1+参数!$B$8/100*A252/100</f>
        <v>2.75</v>
      </c>
      <c r="C252" s="6">
        <f t="shared" si="3"/>
        <v>2.5454545454544064E-3</v>
      </c>
    </row>
    <row r="253" spans="1:3" x14ac:dyDescent="0.25">
      <c r="A253" s="3">
        <v>251</v>
      </c>
      <c r="B253" s="5">
        <f>1+参数!$B$8/100*A253/100</f>
        <v>2.7569999999999997</v>
      </c>
      <c r="C253" s="6">
        <f t="shared" si="3"/>
        <v>2.5389916575988547E-3</v>
      </c>
    </row>
    <row r="254" spans="1:3" x14ac:dyDescent="0.25">
      <c r="A254" s="3">
        <v>252</v>
      </c>
      <c r="B254" s="5">
        <f>1+参数!$B$8/100*A254/100</f>
        <v>2.7639999999999998</v>
      </c>
      <c r="C254" s="6">
        <f t="shared" si="3"/>
        <v>2.5325615050650896E-3</v>
      </c>
    </row>
    <row r="255" spans="1:3" x14ac:dyDescent="0.25">
      <c r="A255" s="3">
        <v>253</v>
      </c>
      <c r="B255" s="5">
        <f>1+参数!$B$8/100*A255/100</f>
        <v>2.7709999999999999</v>
      </c>
      <c r="C255" s="6">
        <f t="shared" si="3"/>
        <v>2.5261638397688913E-3</v>
      </c>
    </row>
    <row r="256" spans="1:3" x14ac:dyDescent="0.25">
      <c r="A256" s="3">
        <v>254</v>
      </c>
      <c r="B256" s="5">
        <f>1+参数!$B$8/100*A256/100</f>
        <v>2.7779999999999996</v>
      </c>
      <c r="C256" s="6">
        <f t="shared" si="3"/>
        <v>2.5197984161269282E-3</v>
      </c>
    </row>
    <row r="257" spans="1:3" x14ac:dyDescent="0.25">
      <c r="A257" s="3">
        <v>255</v>
      </c>
      <c r="B257" s="5">
        <f>1+参数!$B$8/100*A257/100</f>
        <v>2.7850000000000001</v>
      </c>
      <c r="C257" s="6">
        <f t="shared" si="3"/>
        <v>2.5134649910232287E-3</v>
      </c>
    </row>
    <row r="258" spans="1:3" x14ac:dyDescent="0.25">
      <c r="A258" s="3">
        <v>256</v>
      </c>
      <c r="B258" s="5">
        <f>1+参数!$B$8/100*A258/100</f>
        <v>2.7919999999999998</v>
      </c>
      <c r="C258" s="6">
        <f t="shared" ref="C258:C321" si="4">B259/B258-1</f>
        <v>2.5071633237820912E-3</v>
      </c>
    </row>
    <row r="259" spans="1:3" x14ac:dyDescent="0.25">
      <c r="A259" s="3">
        <v>257</v>
      </c>
      <c r="B259" s="5">
        <f>1+参数!$B$8/100*A259/100</f>
        <v>2.7989999999999995</v>
      </c>
      <c r="C259" s="6">
        <f t="shared" si="4"/>
        <v>2.5008931761345554E-3</v>
      </c>
    </row>
    <row r="260" spans="1:3" x14ac:dyDescent="0.25">
      <c r="A260" s="3">
        <v>258</v>
      </c>
      <c r="B260" s="5">
        <f>1+参数!$B$8/100*A260/100</f>
        <v>2.806</v>
      </c>
      <c r="C260" s="6">
        <f t="shared" si="4"/>
        <v>2.4946543121879827E-3</v>
      </c>
    </row>
    <row r="261" spans="1:3" x14ac:dyDescent="0.25">
      <c r="A261" s="3">
        <v>259</v>
      </c>
      <c r="B261" s="5">
        <f>1+参数!$B$8/100*A261/100</f>
        <v>2.8129999999999997</v>
      </c>
      <c r="C261" s="6">
        <f t="shared" si="4"/>
        <v>2.4884464984005206E-3</v>
      </c>
    </row>
    <row r="262" spans="1:3" x14ac:dyDescent="0.25">
      <c r="A262" s="3">
        <v>260</v>
      </c>
      <c r="B262" s="5">
        <f>1+参数!$B$8/100*A262/100</f>
        <v>2.8200000000000003</v>
      </c>
      <c r="C262" s="6">
        <f t="shared" si="4"/>
        <v>2.4822695035460196E-3</v>
      </c>
    </row>
    <row r="263" spans="1:3" x14ac:dyDescent="0.25">
      <c r="A263" s="3">
        <v>261</v>
      </c>
      <c r="B263" s="5">
        <f>1+参数!$B$8/100*A263/100</f>
        <v>2.827</v>
      </c>
      <c r="C263" s="6">
        <f t="shared" si="4"/>
        <v>2.4761230986911631E-3</v>
      </c>
    </row>
    <row r="264" spans="1:3" x14ac:dyDescent="0.25">
      <c r="A264" s="3">
        <v>262</v>
      </c>
      <c r="B264" s="5">
        <f>1+参数!$B$8/100*A264/100</f>
        <v>2.8339999999999996</v>
      </c>
      <c r="C264" s="6">
        <f t="shared" si="4"/>
        <v>2.4700070571632704E-3</v>
      </c>
    </row>
    <row r="265" spans="1:3" x14ac:dyDescent="0.25">
      <c r="A265" s="3">
        <v>263</v>
      </c>
      <c r="B265" s="5">
        <f>1+参数!$B$8/100*A265/100</f>
        <v>2.8410000000000002</v>
      </c>
      <c r="C265" s="6">
        <f t="shared" si="4"/>
        <v>2.4639211545229855E-3</v>
      </c>
    </row>
    <row r="266" spans="1:3" x14ac:dyDescent="0.25">
      <c r="A266" s="3">
        <v>264</v>
      </c>
      <c r="B266" s="5">
        <f>1+参数!$B$8/100*A266/100</f>
        <v>2.8479999999999999</v>
      </c>
      <c r="C266" s="6">
        <f t="shared" si="4"/>
        <v>2.4578651685394082E-3</v>
      </c>
    </row>
    <row r="267" spans="1:3" x14ac:dyDescent="0.25">
      <c r="A267" s="3">
        <v>265</v>
      </c>
      <c r="B267" s="5">
        <f>1+参数!$B$8/100*A267/100</f>
        <v>2.855</v>
      </c>
      <c r="C267" s="6">
        <f t="shared" si="4"/>
        <v>2.4518388791594514E-3</v>
      </c>
    </row>
    <row r="268" spans="1:3" x14ac:dyDescent="0.25">
      <c r="A268" s="3">
        <v>266</v>
      </c>
      <c r="B268" s="5">
        <f>1+参数!$B$8/100*A268/100</f>
        <v>2.8620000000000001</v>
      </c>
      <c r="C268" s="6">
        <f t="shared" si="4"/>
        <v>2.445842068483417E-3</v>
      </c>
    </row>
    <row r="269" spans="1:3" x14ac:dyDescent="0.25">
      <c r="A269" s="3">
        <v>267</v>
      </c>
      <c r="B269" s="5">
        <f>1+参数!$B$8/100*A269/100</f>
        <v>2.8689999999999998</v>
      </c>
      <c r="C269" s="6">
        <f t="shared" si="4"/>
        <v>2.439874520739016E-3</v>
      </c>
    </row>
    <row r="270" spans="1:3" x14ac:dyDescent="0.25">
      <c r="A270" s="3">
        <v>268</v>
      </c>
      <c r="B270" s="5">
        <f>1+参数!$B$8/100*A270/100</f>
        <v>2.8759999999999999</v>
      </c>
      <c r="C270" s="6">
        <f t="shared" si="4"/>
        <v>2.4339360222531692E-3</v>
      </c>
    </row>
    <row r="271" spans="1:3" x14ac:dyDescent="0.25">
      <c r="A271" s="3">
        <v>269</v>
      </c>
      <c r="B271" s="5">
        <f>1+参数!$B$8/100*A271/100</f>
        <v>2.883</v>
      </c>
      <c r="C271" s="6">
        <f t="shared" si="4"/>
        <v>2.4280263614289144E-3</v>
      </c>
    </row>
    <row r="272" spans="1:3" x14ac:dyDescent="0.25">
      <c r="A272" s="3">
        <v>270</v>
      </c>
      <c r="B272" s="5">
        <f>1+参数!$B$8/100*A272/100</f>
        <v>2.8899999999999997</v>
      </c>
      <c r="C272" s="6">
        <f t="shared" si="4"/>
        <v>2.4221453287198713E-3</v>
      </c>
    </row>
    <row r="273" spans="1:3" x14ac:dyDescent="0.25">
      <c r="A273" s="3">
        <v>271</v>
      </c>
      <c r="B273" s="5">
        <f>1+参数!$B$8/100*A273/100</f>
        <v>2.8969999999999998</v>
      </c>
      <c r="C273" s="6">
        <f t="shared" si="4"/>
        <v>2.4162927166033743E-3</v>
      </c>
    </row>
    <row r="274" spans="1:3" x14ac:dyDescent="0.25">
      <c r="A274" s="3">
        <v>272</v>
      </c>
      <c r="B274" s="5">
        <f>1+参数!$B$8/100*A274/100</f>
        <v>2.9039999999999999</v>
      </c>
      <c r="C274" s="6">
        <f t="shared" si="4"/>
        <v>2.4104683195593779E-3</v>
      </c>
    </row>
    <row r="275" spans="1:3" x14ac:dyDescent="0.25">
      <c r="A275" s="3">
        <v>273</v>
      </c>
      <c r="B275" s="5">
        <f>1+参数!$B$8/100*A275/100</f>
        <v>2.911</v>
      </c>
      <c r="C275" s="6">
        <f t="shared" si="4"/>
        <v>2.4046719340433675E-3</v>
      </c>
    </row>
    <row r="276" spans="1:3" x14ac:dyDescent="0.25">
      <c r="A276" s="3">
        <v>274</v>
      </c>
      <c r="B276" s="5">
        <f>1+参数!$B$8/100*A276/100</f>
        <v>2.9180000000000001</v>
      </c>
      <c r="C276" s="6">
        <f t="shared" si="4"/>
        <v>2.3989033584645991E-3</v>
      </c>
    </row>
    <row r="277" spans="1:3" x14ac:dyDescent="0.25">
      <c r="A277" s="3">
        <v>275</v>
      </c>
      <c r="B277" s="5">
        <f>1+参数!$B$8/100*A277/100</f>
        <v>2.9249999999999998</v>
      </c>
      <c r="C277" s="6">
        <f t="shared" si="4"/>
        <v>2.3931623931623403E-3</v>
      </c>
    </row>
    <row r="278" spans="1:3" x14ac:dyDescent="0.25">
      <c r="A278" s="3">
        <v>276</v>
      </c>
      <c r="B278" s="5">
        <f>1+参数!$B$8/100*A278/100</f>
        <v>2.9319999999999999</v>
      </c>
      <c r="C278" s="6">
        <f t="shared" si="4"/>
        <v>2.3874488403821115E-3</v>
      </c>
    </row>
    <row r="279" spans="1:3" x14ac:dyDescent="0.25">
      <c r="A279" s="3">
        <v>277</v>
      </c>
      <c r="B279" s="5">
        <f>1+参数!$B$8/100*A279/100</f>
        <v>2.9390000000000001</v>
      </c>
      <c r="C279" s="6">
        <f t="shared" si="4"/>
        <v>2.3817625042530377E-3</v>
      </c>
    </row>
    <row r="280" spans="1:3" x14ac:dyDescent="0.25">
      <c r="A280" s="3">
        <v>278</v>
      </c>
      <c r="B280" s="5">
        <f>1+参数!$B$8/100*A280/100</f>
        <v>2.9459999999999997</v>
      </c>
      <c r="C280" s="6">
        <f t="shared" si="4"/>
        <v>2.3761031907671981E-3</v>
      </c>
    </row>
    <row r="281" spans="1:3" x14ac:dyDescent="0.25">
      <c r="A281" s="3">
        <v>279</v>
      </c>
      <c r="B281" s="5">
        <f>1+参数!$B$8/100*A281/100</f>
        <v>2.9529999999999998</v>
      </c>
      <c r="C281" s="6">
        <f t="shared" si="4"/>
        <v>2.3704707077547571E-3</v>
      </c>
    </row>
    <row r="282" spans="1:3" x14ac:dyDescent="0.25">
      <c r="A282" s="3">
        <v>280</v>
      </c>
      <c r="B282" s="5">
        <f>1+参数!$B$8/100*A282/100</f>
        <v>2.96</v>
      </c>
      <c r="C282" s="6">
        <f t="shared" si="4"/>
        <v>2.3648648648646464E-3</v>
      </c>
    </row>
    <row r="283" spans="1:3" x14ac:dyDescent="0.25">
      <c r="A283" s="3">
        <v>281</v>
      </c>
      <c r="B283" s="5">
        <f>1+参数!$B$8/100*A283/100</f>
        <v>2.9669999999999996</v>
      </c>
      <c r="C283" s="6">
        <f t="shared" si="4"/>
        <v>2.3592854735423607E-3</v>
      </c>
    </row>
    <row r="284" spans="1:3" x14ac:dyDescent="0.25">
      <c r="A284" s="3">
        <v>282</v>
      </c>
      <c r="B284" s="5">
        <f>1+参数!$B$8/100*A284/100</f>
        <v>2.9739999999999998</v>
      </c>
      <c r="C284" s="6">
        <f t="shared" si="4"/>
        <v>2.3537323470075311E-3</v>
      </c>
    </row>
    <row r="285" spans="1:3" x14ac:dyDescent="0.25">
      <c r="A285" s="3">
        <v>283</v>
      </c>
      <c r="B285" s="5">
        <f>1+参数!$B$8/100*A285/100</f>
        <v>2.9809999999999999</v>
      </c>
      <c r="C285" s="6">
        <f t="shared" si="4"/>
        <v>2.3482053002346071E-3</v>
      </c>
    </row>
    <row r="286" spans="1:3" x14ac:dyDescent="0.25">
      <c r="A286" s="3">
        <v>284</v>
      </c>
      <c r="B286" s="5">
        <f>1+参数!$B$8/100*A286/100</f>
        <v>2.9879999999999995</v>
      </c>
      <c r="C286" s="6">
        <f t="shared" si="4"/>
        <v>2.3427041499333168E-3</v>
      </c>
    </row>
    <row r="287" spans="1:3" x14ac:dyDescent="0.25">
      <c r="A287" s="3">
        <v>285</v>
      </c>
      <c r="B287" s="5">
        <f>1+参数!$B$8/100*A287/100</f>
        <v>2.9950000000000001</v>
      </c>
      <c r="C287" s="6">
        <f t="shared" si="4"/>
        <v>2.33722871452402E-3</v>
      </c>
    </row>
    <row r="288" spans="1:3" x14ac:dyDescent="0.25">
      <c r="A288" s="3">
        <v>286</v>
      </c>
      <c r="B288" s="5">
        <f>1+参数!$B$8/100*A288/100</f>
        <v>3.0019999999999998</v>
      </c>
      <c r="C288" s="6">
        <f t="shared" si="4"/>
        <v>2.3317788141239415E-3</v>
      </c>
    </row>
    <row r="289" spans="1:3" x14ac:dyDescent="0.25">
      <c r="A289" s="3">
        <v>287</v>
      </c>
      <c r="B289" s="5">
        <f>1+参数!$B$8/100*A289/100</f>
        <v>3.0089999999999999</v>
      </c>
      <c r="C289" s="6">
        <f t="shared" si="4"/>
        <v>2.3263542705218576E-3</v>
      </c>
    </row>
    <row r="290" spans="1:3" x14ac:dyDescent="0.25">
      <c r="A290" s="3">
        <v>288</v>
      </c>
      <c r="B290" s="5">
        <f>1+参数!$B$8/100*A290/100</f>
        <v>3.016</v>
      </c>
      <c r="C290" s="6">
        <f t="shared" si="4"/>
        <v>2.3209549071616653E-3</v>
      </c>
    </row>
    <row r="291" spans="1:3" x14ac:dyDescent="0.25">
      <c r="A291" s="3">
        <v>289</v>
      </c>
      <c r="B291" s="5">
        <f>1+参数!$B$8/100*A291/100</f>
        <v>3.0229999999999997</v>
      </c>
      <c r="C291" s="6">
        <f t="shared" si="4"/>
        <v>2.3155805491235082E-3</v>
      </c>
    </row>
    <row r="292" spans="1:3" x14ac:dyDescent="0.25">
      <c r="A292" s="3">
        <v>290</v>
      </c>
      <c r="B292" s="5">
        <f>1+参数!$B$8/100*A292/100</f>
        <v>3.03</v>
      </c>
      <c r="C292" s="6">
        <f t="shared" si="4"/>
        <v>2.3102310231022383E-3</v>
      </c>
    </row>
    <row r="293" spans="1:3" x14ac:dyDescent="0.25">
      <c r="A293" s="3">
        <v>291</v>
      </c>
      <c r="B293" s="5">
        <f>1+参数!$B$8/100*A293/100</f>
        <v>3.0369999999999999</v>
      </c>
      <c r="C293" s="6">
        <f t="shared" si="4"/>
        <v>2.3049061573920948E-3</v>
      </c>
    </row>
    <row r="294" spans="1:3" x14ac:dyDescent="0.25">
      <c r="A294" s="3">
        <v>292</v>
      </c>
      <c r="B294" s="5">
        <f>1+参数!$B$8/100*A294/100</f>
        <v>3.0439999999999996</v>
      </c>
      <c r="C294" s="6">
        <f t="shared" si="4"/>
        <v>2.2996057818660542E-3</v>
      </c>
    </row>
    <row r="295" spans="1:3" x14ac:dyDescent="0.25">
      <c r="A295" s="3">
        <v>293</v>
      </c>
      <c r="B295" s="5">
        <f>1+参数!$B$8/100*A295/100</f>
        <v>3.0510000000000002</v>
      </c>
      <c r="C295" s="6">
        <f t="shared" si="4"/>
        <v>2.2943297279578445E-3</v>
      </c>
    </row>
    <row r="296" spans="1:3" x14ac:dyDescent="0.25">
      <c r="A296" s="3">
        <v>294</v>
      </c>
      <c r="B296" s="5">
        <f>1+参数!$B$8/100*A296/100</f>
        <v>3.0579999999999998</v>
      </c>
      <c r="C296" s="6">
        <f t="shared" si="4"/>
        <v>2.2890778286461799E-3</v>
      </c>
    </row>
    <row r="297" spans="1:3" x14ac:dyDescent="0.25">
      <c r="A297" s="3">
        <v>295</v>
      </c>
      <c r="B297" s="5">
        <f>1+参数!$B$8/100*A297/100</f>
        <v>3.0649999999999999</v>
      </c>
      <c r="C297" s="6">
        <f t="shared" si="4"/>
        <v>2.283849918433889E-3</v>
      </c>
    </row>
    <row r="298" spans="1:3" x14ac:dyDescent="0.25">
      <c r="A298" s="3">
        <v>296</v>
      </c>
      <c r="B298" s="5">
        <f>1+参数!$B$8/100*A298/100</f>
        <v>3.0720000000000001</v>
      </c>
      <c r="C298" s="6">
        <f t="shared" si="4"/>
        <v>2.2786458333332593E-3</v>
      </c>
    </row>
    <row r="299" spans="1:3" x14ac:dyDescent="0.25">
      <c r="A299" s="3">
        <v>297</v>
      </c>
      <c r="B299" s="5">
        <f>1+参数!$B$8/100*A299/100</f>
        <v>3.0789999999999997</v>
      </c>
      <c r="C299" s="6">
        <f t="shared" si="4"/>
        <v>2.2734654108476082E-3</v>
      </c>
    </row>
    <row r="300" spans="1:3" x14ac:dyDescent="0.25">
      <c r="A300" s="3">
        <v>298</v>
      </c>
      <c r="B300" s="5">
        <f>1+参数!$B$8/100*A300/100</f>
        <v>3.0859999999999999</v>
      </c>
      <c r="C300" s="6">
        <f t="shared" si="4"/>
        <v>2.2683084899546291E-3</v>
      </c>
    </row>
    <row r="301" spans="1:3" x14ac:dyDescent="0.25">
      <c r="A301" s="3">
        <v>299</v>
      </c>
      <c r="B301" s="5">
        <f>1+参数!$B$8/100*A301/100</f>
        <v>3.093</v>
      </c>
      <c r="C301" s="6">
        <f t="shared" si="4"/>
        <v>2.2631749110895161E-3</v>
      </c>
    </row>
    <row r="302" spans="1:3" x14ac:dyDescent="0.25">
      <c r="A302" s="3">
        <v>300</v>
      </c>
      <c r="B302" s="5">
        <f>1+参数!$B$8/100*A302/100</f>
        <v>3.1</v>
      </c>
      <c r="C302" s="6"/>
    </row>
  </sheetData>
  <mergeCells count="1">
    <mergeCell ref="E2:H5"/>
  </mergeCells>
  <phoneticPr fontId="2" type="noConversion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02"/>
  <sheetViews>
    <sheetView zoomScale="90" workbookViewId="0">
      <pane ySplit="1" topLeftCell="A2" activePane="bottomLeft" state="frozen"/>
      <selection pane="bottomLeft"/>
    </sheetView>
  </sheetViews>
  <sheetFormatPr defaultRowHeight="14" x14ac:dyDescent="0.25"/>
  <cols>
    <col min="1" max="2" width="14" customWidth="1"/>
    <col min="3" max="3" width="16" customWidth="1"/>
    <col min="5" max="8" width="18" customWidth="1"/>
  </cols>
  <sheetData>
    <row r="1" spans="1:8" ht="28" customHeight="1" x14ac:dyDescent="0.25">
      <c r="A1" s="1" t="s">
        <v>61</v>
      </c>
      <c r="B1" s="1" t="s">
        <v>50</v>
      </c>
      <c r="C1" s="1" t="s">
        <v>51</v>
      </c>
      <c r="E1" s="4" t="s">
        <v>31</v>
      </c>
    </row>
    <row r="2" spans="1:8" x14ac:dyDescent="0.25">
      <c r="A2" s="3">
        <v>0</v>
      </c>
      <c r="B2" s="5">
        <f>1-(((200+10*参数!$B$3)*(1-A2/100))/(((200+10*参数!$B$3)*(1-A2/100))+200+10*参数!$B$2))</f>
        <v>0.5</v>
      </c>
      <c r="C2" s="6">
        <f t="shared" ref="C2:C33" si="0">B3/B2-1</f>
        <v>5.0251256281406143E-3</v>
      </c>
      <c r="E2" s="7" t="s">
        <v>62</v>
      </c>
      <c r="F2" s="8"/>
      <c r="G2" s="8"/>
      <c r="H2" s="8"/>
    </row>
    <row r="3" spans="1:8" x14ac:dyDescent="0.25">
      <c r="A3" s="3">
        <v>1</v>
      </c>
      <c r="B3" s="5">
        <f>1-(((200+10*参数!$B$3)*(1-A3/100))/(((200+10*参数!$B$3)*(1-A3/100))+200+10*参数!$B$2))</f>
        <v>0.50251256281407031</v>
      </c>
      <c r="C3" s="6">
        <f t="shared" si="0"/>
        <v>5.050505050504972E-3</v>
      </c>
      <c r="E3" s="8"/>
      <c r="F3" s="8"/>
      <c r="G3" s="8"/>
      <c r="H3" s="8"/>
    </row>
    <row r="4" spans="1:8" x14ac:dyDescent="0.25">
      <c r="A4" s="3">
        <v>2</v>
      </c>
      <c r="B4" s="5">
        <f>1-(((200+10*参数!$B$3)*(1-A4/100))/(((200+10*参数!$B$3)*(1-A4/100))+200+10*参数!$B$2))</f>
        <v>0.50505050505050497</v>
      </c>
      <c r="C4" s="6">
        <f t="shared" si="0"/>
        <v>5.0761421319798217E-3</v>
      </c>
      <c r="E4" s="8"/>
      <c r="F4" s="8"/>
      <c r="G4" s="8"/>
      <c r="H4" s="8"/>
    </row>
    <row r="5" spans="1:8" x14ac:dyDescent="0.25">
      <c r="A5" s="3">
        <v>3</v>
      </c>
      <c r="B5" s="5">
        <f>1-(((200+10*参数!$B$3)*(1-A5/100))/(((200+10*参数!$B$3)*(1-A5/100))+200+10*参数!$B$2))</f>
        <v>0.50761421319796951</v>
      </c>
      <c r="C5" s="6">
        <f t="shared" si="0"/>
        <v>5.1020408163267028E-3</v>
      </c>
      <c r="E5" s="8"/>
      <c r="F5" s="8"/>
      <c r="G5" s="8"/>
      <c r="H5" s="8"/>
    </row>
    <row r="6" spans="1:8" x14ac:dyDescent="0.25">
      <c r="A6" s="3">
        <v>4</v>
      </c>
      <c r="B6" s="5">
        <f>1-(((200+10*参数!$B$3)*(1-A6/100))/(((200+10*参数!$B$3)*(1-A6/100))+200+10*参数!$B$2))</f>
        <v>0.51020408163265307</v>
      </c>
      <c r="C6" s="6">
        <f t="shared" si="0"/>
        <v>5.12820512820511E-3</v>
      </c>
    </row>
    <row r="7" spans="1:8" x14ac:dyDescent="0.25">
      <c r="A7" s="3">
        <v>5</v>
      </c>
      <c r="B7" s="5">
        <f>1-(((200+10*参数!$B$3)*(1-A7/100))/(((200+10*参数!$B$3)*(1-A7/100))+200+10*参数!$B$2))</f>
        <v>0.51282051282051277</v>
      </c>
      <c r="C7" s="6">
        <f t="shared" si="0"/>
        <v>5.1546391752577136E-3</v>
      </c>
    </row>
    <row r="8" spans="1:8" x14ac:dyDescent="0.25">
      <c r="A8" s="3">
        <v>6</v>
      </c>
      <c r="B8" s="5">
        <f>1-(((200+10*参数!$B$3)*(1-A8/100))/(((200+10*参数!$B$3)*(1-A8/100))+200+10*参数!$B$2))</f>
        <v>0.51546391752577314</v>
      </c>
      <c r="C8" s="6">
        <f t="shared" si="0"/>
        <v>5.1813471502593078E-3</v>
      </c>
    </row>
    <row r="9" spans="1:8" x14ac:dyDescent="0.25">
      <c r="A9" s="3">
        <v>7</v>
      </c>
      <c r="B9" s="5">
        <f>1-(((200+10*参数!$B$3)*(1-A9/100))/(((200+10*参数!$B$3)*(1-A9/100))+200+10*参数!$B$2))</f>
        <v>0.5181347150259068</v>
      </c>
      <c r="C9" s="6">
        <f t="shared" si="0"/>
        <v>5.2083333333330373E-3</v>
      </c>
    </row>
    <row r="10" spans="1:8" x14ac:dyDescent="0.25">
      <c r="A10" s="3">
        <v>8</v>
      </c>
      <c r="B10" s="5">
        <f>1-(((200+10*参数!$B$3)*(1-A10/100))/(((200+10*参数!$B$3)*(1-A10/100))+200+10*参数!$B$2))</f>
        <v>0.52083333333333326</v>
      </c>
      <c r="C10" s="6">
        <f t="shared" si="0"/>
        <v>5.2356020942410098E-3</v>
      </c>
    </row>
    <row r="11" spans="1:8" x14ac:dyDescent="0.25">
      <c r="A11" s="3">
        <v>9</v>
      </c>
      <c r="B11" s="5">
        <f>1-(((200+10*参数!$B$3)*(1-A11/100))/(((200+10*参数!$B$3)*(1-A11/100))+200+10*参数!$B$2))</f>
        <v>0.52356020942408377</v>
      </c>
      <c r="C11" s="6">
        <f t="shared" si="0"/>
        <v>5.2631578947370805E-3</v>
      </c>
    </row>
    <row r="12" spans="1:8" x14ac:dyDescent="0.25">
      <c r="A12" s="3">
        <v>10</v>
      </c>
      <c r="B12" s="5">
        <f>1-(((200+10*参数!$B$3)*(1-A12/100))/(((200+10*参数!$B$3)*(1-A12/100))+200+10*参数!$B$2))</f>
        <v>0.52631578947368429</v>
      </c>
      <c r="C12" s="6">
        <f t="shared" si="0"/>
        <v>5.2910052910051242E-3</v>
      </c>
    </row>
    <row r="13" spans="1:8" x14ac:dyDescent="0.25">
      <c r="A13" s="3">
        <v>11</v>
      </c>
      <c r="B13" s="5">
        <f>1-(((200+10*参数!$B$3)*(1-A13/100))/(((200+10*参数!$B$3)*(1-A13/100))+200+10*参数!$B$2))</f>
        <v>0.52910052910052907</v>
      </c>
      <c r="C13" s="6">
        <f t="shared" si="0"/>
        <v>5.3191489361703592E-3</v>
      </c>
    </row>
    <row r="14" spans="1:8" x14ac:dyDescent="0.25">
      <c r="A14" s="3">
        <v>12</v>
      </c>
      <c r="B14" s="5">
        <f>1-(((200+10*参数!$B$3)*(1-A14/100))/(((200+10*参数!$B$3)*(1-A14/100))+200+10*参数!$B$2))</f>
        <v>0.53191489361702127</v>
      </c>
      <c r="C14" s="6">
        <f t="shared" si="0"/>
        <v>5.3475935828874999E-3</v>
      </c>
    </row>
    <row r="15" spans="1:8" x14ac:dyDescent="0.25">
      <c r="A15" s="3">
        <v>13</v>
      </c>
      <c r="B15" s="5">
        <f>1-(((200+10*参数!$B$3)*(1-A15/100))/(((200+10*参数!$B$3)*(1-A15/100))+200+10*参数!$B$2))</f>
        <v>0.53475935828876997</v>
      </c>
      <c r="C15" s="6">
        <f t="shared" si="0"/>
        <v>5.3763440860215006E-3</v>
      </c>
    </row>
    <row r="16" spans="1:8" x14ac:dyDescent="0.25">
      <c r="A16" s="3">
        <v>14</v>
      </c>
      <c r="B16" s="5">
        <f>1-(((200+10*参数!$B$3)*(1-A16/100))/(((200+10*参数!$B$3)*(1-A16/100))+200+10*参数!$B$2))</f>
        <v>0.5376344086021505</v>
      </c>
      <c r="C16" s="6">
        <f t="shared" si="0"/>
        <v>5.4054054054055722E-3</v>
      </c>
    </row>
    <row r="17" spans="1:3" x14ac:dyDescent="0.25">
      <c r="A17" s="3">
        <v>15</v>
      </c>
      <c r="B17" s="5">
        <f>1-(((200+10*参数!$B$3)*(1-A17/100))/(((200+10*参数!$B$3)*(1-A17/100))+200+10*参数!$B$2))</f>
        <v>0.54054054054054057</v>
      </c>
      <c r="C17" s="6">
        <f t="shared" si="0"/>
        <v>5.4347826086955653E-3</v>
      </c>
    </row>
    <row r="18" spans="1:3" x14ac:dyDescent="0.25">
      <c r="A18" s="3">
        <v>16</v>
      </c>
      <c r="B18" s="5">
        <f>1-(((200+10*参数!$B$3)*(1-A18/100))/(((200+10*参数!$B$3)*(1-A18/100))+200+10*参数!$B$2))</f>
        <v>0.54347826086956519</v>
      </c>
      <c r="C18" s="6">
        <f t="shared" si="0"/>
        <v>5.464480874316946E-3</v>
      </c>
    </row>
    <row r="19" spans="1:3" x14ac:dyDescent="0.25">
      <c r="A19" s="3">
        <v>17</v>
      </c>
      <c r="B19" s="5">
        <f>1-(((200+10*参数!$B$3)*(1-A19/100))/(((200+10*参数!$B$3)*(1-A19/100))+200+10*参数!$B$2))</f>
        <v>0.54644808743169393</v>
      </c>
      <c r="C19" s="6">
        <f t="shared" si="0"/>
        <v>5.494505494505475E-3</v>
      </c>
    </row>
    <row r="20" spans="1:3" x14ac:dyDescent="0.25">
      <c r="A20" s="3">
        <v>18</v>
      </c>
      <c r="B20" s="5">
        <f>1-(((200+10*参数!$B$3)*(1-A20/100))/(((200+10*参数!$B$3)*(1-A20/100))+200+10*参数!$B$2))</f>
        <v>0.54945054945054939</v>
      </c>
      <c r="C20" s="6">
        <f t="shared" si="0"/>
        <v>5.5248618784529135E-3</v>
      </c>
    </row>
    <row r="21" spans="1:3" x14ac:dyDescent="0.25">
      <c r="A21" s="3">
        <v>19</v>
      </c>
      <c r="B21" s="5">
        <f>1-(((200+10*参数!$B$3)*(1-A21/100))/(((200+10*参数!$B$3)*(1-A21/100))+200+10*参数!$B$2))</f>
        <v>0.55248618784530379</v>
      </c>
      <c r="C21" s="6">
        <f t="shared" si="0"/>
        <v>5.5555555555557579E-3</v>
      </c>
    </row>
    <row r="22" spans="1:3" x14ac:dyDescent="0.25">
      <c r="A22" s="3">
        <v>20</v>
      </c>
      <c r="B22" s="5">
        <f>1-(((200+10*参数!$B$3)*(1-A22/100))/(((200+10*参数!$B$3)*(1-A22/100))+200+10*参数!$B$2))</f>
        <v>0.55555555555555558</v>
      </c>
      <c r="C22" s="6">
        <f t="shared" si="0"/>
        <v>5.5865921787709993E-3</v>
      </c>
    </row>
    <row r="23" spans="1:3" x14ac:dyDescent="0.25">
      <c r="A23" s="3">
        <v>21</v>
      </c>
      <c r="B23" s="5">
        <f>1-(((200+10*参数!$B$3)*(1-A23/100))/(((200+10*参数!$B$3)*(1-A23/100))+200+10*参数!$B$2))</f>
        <v>0.55865921787709505</v>
      </c>
      <c r="C23" s="6">
        <f t="shared" si="0"/>
        <v>5.6179775280897903E-3</v>
      </c>
    </row>
    <row r="24" spans="1:3" x14ac:dyDescent="0.25">
      <c r="A24" s="3">
        <v>22</v>
      </c>
      <c r="B24" s="5">
        <f>1-(((200+10*参数!$B$3)*(1-A24/100))/(((200+10*参数!$B$3)*(1-A24/100))+200+10*参数!$B$2))</f>
        <v>0.5617977528089888</v>
      </c>
      <c r="C24" s="6">
        <f t="shared" si="0"/>
        <v>5.6497175141243527E-3</v>
      </c>
    </row>
    <row r="25" spans="1:3" x14ac:dyDescent="0.25">
      <c r="A25" s="3">
        <v>23</v>
      </c>
      <c r="B25" s="5">
        <f>1-(((200+10*参数!$B$3)*(1-A25/100))/(((200+10*参数!$B$3)*(1-A25/100))+200+10*参数!$B$2))</f>
        <v>0.56497175141242939</v>
      </c>
      <c r="C25" s="6">
        <f t="shared" si="0"/>
        <v>5.6818181818181213E-3</v>
      </c>
    </row>
    <row r="26" spans="1:3" x14ac:dyDescent="0.25">
      <c r="A26" s="3">
        <v>24</v>
      </c>
      <c r="B26" s="5">
        <f>1-(((200+10*参数!$B$3)*(1-A26/100))/(((200+10*参数!$B$3)*(1-A26/100))+200+10*参数!$B$2))</f>
        <v>0.56818181818181812</v>
      </c>
      <c r="C26" s="6">
        <f t="shared" si="0"/>
        <v>5.7142857142857828E-3</v>
      </c>
    </row>
    <row r="27" spans="1:3" x14ac:dyDescent="0.25">
      <c r="A27" s="3">
        <v>25</v>
      </c>
      <c r="B27" s="5">
        <f>1-(((200+10*参数!$B$3)*(1-A27/100))/(((200+10*参数!$B$3)*(1-A27/100))+200+10*参数!$B$2))</f>
        <v>0.5714285714285714</v>
      </c>
      <c r="C27" s="6">
        <f t="shared" si="0"/>
        <v>5.7471264367816577E-3</v>
      </c>
    </row>
    <row r="28" spans="1:3" x14ac:dyDescent="0.25">
      <c r="A28" s="3">
        <v>26</v>
      </c>
      <c r="B28" s="5">
        <f>1-(((200+10*参数!$B$3)*(1-A28/100))/(((200+10*参数!$B$3)*(1-A28/100))+200+10*参数!$B$2))</f>
        <v>0.57471264367816088</v>
      </c>
      <c r="C28" s="6">
        <f t="shared" si="0"/>
        <v>5.7803468208093012E-3</v>
      </c>
    </row>
    <row r="29" spans="1:3" x14ac:dyDescent="0.25">
      <c r="A29" s="3">
        <v>27</v>
      </c>
      <c r="B29" s="5">
        <f>1-(((200+10*参数!$B$3)*(1-A29/100))/(((200+10*参数!$B$3)*(1-A29/100))+200+10*参数!$B$2))</f>
        <v>0.57803468208092479</v>
      </c>
      <c r="C29" s="6">
        <f t="shared" si="0"/>
        <v>5.8139534883721034E-3</v>
      </c>
    </row>
    <row r="30" spans="1:3" x14ac:dyDescent="0.25">
      <c r="A30" s="3">
        <v>28</v>
      </c>
      <c r="B30" s="5">
        <f>1-(((200+10*参数!$B$3)*(1-A30/100))/(((200+10*参数!$B$3)*(1-A30/100))+200+10*参数!$B$2))</f>
        <v>0.58139534883720922</v>
      </c>
      <c r="C30" s="6">
        <f t="shared" si="0"/>
        <v>5.8479532163744352E-3</v>
      </c>
    </row>
    <row r="31" spans="1:3" x14ac:dyDescent="0.25">
      <c r="A31" s="3">
        <v>29</v>
      </c>
      <c r="B31" s="5">
        <f>1-(((200+10*参数!$B$3)*(1-A31/100))/(((200+10*参数!$B$3)*(1-A31/100))+200+10*参数!$B$2))</f>
        <v>0.58479532163742687</v>
      </c>
      <c r="C31" s="6">
        <f t="shared" si="0"/>
        <v>5.8823529411764497E-3</v>
      </c>
    </row>
    <row r="32" spans="1:3" x14ac:dyDescent="0.25">
      <c r="A32" s="3">
        <v>30</v>
      </c>
      <c r="B32" s="5">
        <f>1-(((200+10*参数!$B$3)*(1-A32/100))/(((200+10*参数!$B$3)*(1-A32/100))+200+10*参数!$B$2))</f>
        <v>0.58823529411764708</v>
      </c>
      <c r="C32" s="6">
        <f t="shared" si="0"/>
        <v>5.9171597633136397E-3</v>
      </c>
    </row>
    <row r="33" spans="1:3" x14ac:dyDescent="0.25">
      <c r="A33" s="3">
        <v>31</v>
      </c>
      <c r="B33" s="5">
        <f>1-(((200+10*参数!$B$3)*(1-A33/100))/(((200+10*参数!$B$3)*(1-A33/100))+200+10*参数!$B$2))</f>
        <v>0.59171597633136097</v>
      </c>
      <c r="C33" s="6">
        <f t="shared" si="0"/>
        <v>5.9523809523811533E-3</v>
      </c>
    </row>
    <row r="34" spans="1:3" x14ac:dyDescent="0.25">
      <c r="A34" s="3">
        <v>32</v>
      </c>
      <c r="B34" s="5">
        <f>1-(((200+10*参数!$B$3)*(1-A34/100))/(((200+10*参数!$B$3)*(1-A34/100))+200+10*参数!$B$2))</f>
        <v>0.59523809523809534</v>
      </c>
      <c r="C34" s="6">
        <f t="shared" ref="C34:C65" si="1">B35/B34-1</f>
        <v>5.9880239520957446E-3</v>
      </c>
    </row>
    <row r="35" spans="1:3" x14ac:dyDescent="0.25">
      <c r="A35" s="3">
        <v>33</v>
      </c>
      <c r="B35" s="5">
        <f>1-(((200+10*参数!$B$3)*(1-A35/100))/(((200+10*参数!$B$3)*(1-A35/100))+200+10*参数!$B$2))</f>
        <v>0.5988023952095809</v>
      </c>
      <c r="C35" s="6">
        <f t="shared" si="1"/>
        <v>6.0240963855422436E-3</v>
      </c>
    </row>
    <row r="36" spans="1:3" x14ac:dyDescent="0.25">
      <c r="A36" s="3">
        <v>34</v>
      </c>
      <c r="B36" s="5">
        <f>1-(((200+10*参数!$B$3)*(1-A36/100))/(((200+10*参数!$B$3)*(1-A36/100))+200+10*参数!$B$2))</f>
        <v>0.60240963855421692</v>
      </c>
      <c r="C36" s="6">
        <f t="shared" si="1"/>
        <v>6.0606060606060996E-3</v>
      </c>
    </row>
    <row r="37" spans="1:3" x14ac:dyDescent="0.25">
      <c r="A37" s="3">
        <v>35</v>
      </c>
      <c r="B37" s="5">
        <f>1-(((200+10*参数!$B$3)*(1-A37/100))/(((200+10*参数!$B$3)*(1-A37/100))+200+10*参数!$B$2))</f>
        <v>0.60606060606060608</v>
      </c>
      <c r="C37" s="6">
        <f t="shared" si="1"/>
        <v>6.0975609756097615E-3</v>
      </c>
    </row>
    <row r="38" spans="1:3" x14ac:dyDescent="0.25">
      <c r="A38" s="3">
        <v>36</v>
      </c>
      <c r="B38" s="5">
        <f>1-(((200+10*参数!$B$3)*(1-A38/100))/(((200+10*参数!$B$3)*(1-A38/100))+200+10*参数!$B$2))</f>
        <v>0.6097560975609756</v>
      </c>
      <c r="C38" s="6">
        <f t="shared" si="1"/>
        <v>6.1349693251533388E-3</v>
      </c>
    </row>
    <row r="39" spans="1:3" x14ac:dyDescent="0.25">
      <c r="A39" s="3">
        <v>37</v>
      </c>
      <c r="B39" s="5">
        <f>1-(((200+10*参数!$B$3)*(1-A39/100))/(((200+10*参数!$B$3)*(1-A39/100))+200+10*参数!$B$2))</f>
        <v>0.61349693251533743</v>
      </c>
      <c r="C39" s="6">
        <f t="shared" si="1"/>
        <v>6.1728395061728669E-3</v>
      </c>
    </row>
    <row r="40" spans="1:3" x14ac:dyDescent="0.25">
      <c r="A40" s="3">
        <v>38</v>
      </c>
      <c r="B40" s="5">
        <f>1-(((200+10*参数!$B$3)*(1-A40/100))/(((200+10*参数!$B$3)*(1-A40/100))+200+10*参数!$B$2))</f>
        <v>0.61728395061728403</v>
      </c>
      <c r="C40" s="6">
        <f t="shared" si="1"/>
        <v>6.2111801242235032E-3</v>
      </c>
    </row>
    <row r="41" spans="1:3" x14ac:dyDescent="0.25">
      <c r="A41" s="3">
        <v>39</v>
      </c>
      <c r="B41" s="5">
        <f>1-(((200+10*参数!$B$3)*(1-A41/100))/(((200+10*参数!$B$3)*(1-A41/100))+200+10*参数!$B$2))</f>
        <v>0.62111801242236031</v>
      </c>
      <c r="C41" s="6">
        <f t="shared" si="1"/>
        <v>6.2499999999998668E-3</v>
      </c>
    </row>
    <row r="42" spans="1:3" x14ac:dyDescent="0.25">
      <c r="A42" s="3">
        <v>40</v>
      </c>
      <c r="B42" s="5">
        <f>1-(((200+10*参数!$B$3)*(1-A42/100))/(((200+10*参数!$B$3)*(1-A42/100))+200+10*参数!$B$2))</f>
        <v>0.625</v>
      </c>
      <c r="C42" s="6">
        <f t="shared" si="1"/>
        <v>6.2893081761004055E-3</v>
      </c>
    </row>
    <row r="43" spans="1:3" x14ac:dyDescent="0.25">
      <c r="A43" s="3">
        <v>41</v>
      </c>
      <c r="B43" s="5">
        <f>1-(((200+10*参数!$B$3)*(1-A43/100))/(((200+10*参数!$B$3)*(1-A43/100))+200+10*参数!$B$2))</f>
        <v>0.62893081761006275</v>
      </c>
      <c r="C43" s="6">
        <f t="shared" si="1"/>
        <v>6.3291139240506666E-3</v>
      </c>
    </row>
    <row r="44" spans="1:3" x14ac:dyDescent="0.25">
      <c r="A44" s="3">
        <v>42</v>
      </c>
      <c r="B44" s="5">
        <f>1-(((200+10*参数!$B$3)*(1-A44/100))/(((200+10*参数!$B$3)*(1-A44/100))+200+10*参数!$B$2))</f>
        <v>0.63291139240506322</v>
      </c>
      <c r="C44" s="6">
        <f t="shared" si="1"/>
        <v>6.3694267515921332E-3</v>
      </c>
    </row>
    <row r="45" spans="1:3" x14ac:dyDescent="0.25">
      <c r="A45" s="3">
        <v>43</v>
      </c>
      <c r="B45" s="5">
        <f>1-(((200+10*参数!$B$3)*(1-A45/100))/(((200+10*参数!$B$3)*(1-A45/100))+200+10*参数!$B$2))</f>
        <v>0.63694267515923553</v>
      </c>
      <c r="C45" s="6">
        <f t="shared" si="1"/>
        <v>6.4102564102566095E-3</v>
      </c>
    </row>
    <row r="46" spans="1:3" x14ac:dyDescent="0.25">
      <c r="A46" s="3">
        <v>44</v>
      </c>
      <c r="B46" s="5">
        <f>1-(((200+10*参数!$B$3)*(1-A46/100))/(((200+10*参数!$B$3)*(1-A46/100))+200+10*参数!$B$2))</f>
        <v>0.64102564102564097</v>
      </c>
      <c r="C46" s="6">
        <f t="shared" si="1"/>
        <v>6.4516129032259339E-3</v>
      </c>
    </row>
    <row r="47" spans="1:3" x14ac:dyDescent="0.25">
      <c r="A47" s="3">
        <v>45</v>
      </c>
      <c r="B47" s="5">
        <f>1-(((200+10*参数!$B$3)*(1-A47/100))/(((200+10*参数!$B$3)*(1-A47/100))+200+10*参数!$B$2))</f>
        <v>0.64516129032258063</v>
      </c>
      <c r="C47" s="6">
        <f t="shared" si="1"/>
        <v>6.4935064935065512E-3</v>
      </c>
    </row>
    <row r="48" spans="1:3" x14ac:dyDescent="0.25">
      <c r="A48" s="3">
        <v>46</v>
      </c>
      <c r="B48" s="5">
        <f>1-(((200+10*参数!$B$3)*(1-A48/100))/(((200+10*参数!$B$3)*(1-A48/100))+200+10*参数!$B$2))</f>
        <v>0.64935064935064934</v>
      </c>
      <c r="C48" s="6">
        <f t="shared" si="1"/>
        <v>6.5359477124182774E-3</v>
      </c>
    </row>
    <row r="49" spans="1:3" x14ac:dyDescent="0.25">
      <c r="A49" s="3">
        <v>47</v>
      </c>
      <c r="B49" s="5">
        <f>1-(((200+10*参数!$B$3)*(1-A49/100))/(((200+10*参数!$B$3)*(1-A49/100))+200+10*参数!$B$2))</f>
        <v>0.65359477124183007</v>
      </c>
      <c r="C49" s="6">
        <f t="shared" si="1"/>
        <v>6.5789473684210176E-3</v>
      </c>
    </row>
    <row r="50" spans="1:3" x14ac:dyDescent="0.25">
      <c r="A50" s="3">
        <v>48</v>
      </c>
      <c r="B50" s="5">
        <f>1-(((200+10*参数!$B$3)*(1-A50/100))/(((200+10*参数!$B$3)*(1-A50/100))+200+10*参数!$B$2))</f>
        <v>0.65789473684210531</v>
      </c>
      <c r="C50" s="6">
        <f t="shared" si="1"/>
        <v>6.6225165562914245E-3</v>
      </c>
    </row>
    <row r="51" spans="1:3" x14ac:dyDescent="0.25">
      <c r="A51" s="3">
        <v>49</v>
      </c>
      <c r="B51" s="5">
        <f>1-(((200+10*参数!$B$3)*(1-A51/100))/(((200+10*参数!$B$3)*(1-A51/100))+200+10*参数!$B$2))</f>
        <v>0.66225165562913912</v>
      </c>
      <c r="C51" s="6">
        <f t="shared" si="1"/>
        <v>6.6666666666665986E-3</v>
      </c>
    </row>
    <row r="52" spans="1:3" x14ac:dyDescent="0.25">
      <c r="A52" s="3">
        <v>50</v>
      </c>
      <c r="B52" s="5">
        <f>1-(((200+10*参数!$B$3)*(1-A52/100))/(((200+10*参数!$B$3)*(1-A52/100))+200+10*参数!$B$2))</f>
        <v>0.66666666666666674</v>
      </c>
      <c r="C52" s="6">
        <f t="shared" si="1"/>
        <v>6.7114093959728116E-3</v>
      </c>
    </row>
    <row r="53" spans="1:3" x14ac:dyDescent="0.25">
      <c r="A53" s="3">
        <v>51</v>
      </c>
      <c r="B53" s="5">
        <f>1-(((200+10*参数!$B$3)*(1-A53/100))/(((200+10*参数!$B$3)*(1-A53/100))+200+10*参数!$B$2))</f>
        <v>0.67114093959731536</v>
      </c>
      <c r="C53" s="6">
        <f t="shared" si="1"/>
        <v>6.7567567567567988E-3</v>
      </c>
    </row>
    <row r="54" spans="1:3" x14ac:dyDescent="0.25">
      <c r="A54" s="3">
        <v>52</v>
      </c>
      <c r="B54" s="5">
        <f>1-(((200+10*参数!$B$3)*(1-A54/100))/(((200+10*参数!$B$3)*(1-A54/100))+200+10*参数!$B$2))</f>
        <v>0.67567567567567566</v>
      </c>
      <c r="C54" s="6">
        <f t="shared" si="1"/>
        <v>6.8027210884353817E-3</v>
      </c>
    </row>
    <row r="55" spans="1:3" x14ac:dyDescent="0.25">
      <c r="A55" s="3">
        <v>53</v>
      </c>
      <c r="B55" s="5">
        <f>1-(((200+10*参数!$B$3)*(1-A55/100))/(((200+10*参数!$B$3)*(1-A55/100))+200+10*参数!$B$2))</f>
        <v>0.68027210884353739</v>
      </c>
      <c r="C55" s="6">
        <f t="shared" si="1"/>
        <v>6.8493150684934001E-3</v>
      </c>
    </row>
    <row r="56" spans="1:3" x14ac:dyDescent="0.25">
      <c r="A56" s="3">
        <v>54</v>
      </c>
      <c r="B56" s="5">
        <f>1-(((200+10*参数!$B$3)*(1-A56/100))/(((200+10*参数!$B$3)*(1-A56/100))+200+10*参数!$B$2))</f>
        <v>0.68493150684931514</v>
      </c>
      <c r="C56" s="6">
        <f t="shared" si="1"/>
        <v>6.8965517241379448E-3</v>
      </c>
    </row>
    <row r="57" spans="1:3" x14ac:dyDescent="0.25">
      <c r="A57" s="3">
        <v>55</v>
      </c>
      <c r="B57" s="5">
        <f>1-(((200+10*参数!$B$3)*(1-A57/100))/(((200+10*参数!$B$3)*(1-A57/100))+200+10*参数!$B$2))</f>
        <v>0.68965517241379315</v>
      </c>
      <c r="C57" s="6">
        <f t="shared" si="1"/>
        <v>6.9444444444444198E-3</v>
      </c>
    </row>
    <row r="58" spans="1:3" x14ac:dyDescent="0.25">
      <c r="A58" s="3">
        <v>56</v>
      </c>
      <c r="B58" s="5">
        <f>1-(((200+10*参数!$B$3)*(1-A58/100))/(((200+10*参数!$B$3)*(1-A58/100))+200+10*参数!$B$2))</f>
        <v>0.69444444444444442</v>
      </c>
      <c r="C58" s="6">
        <f t="shared" si="1"/>
        <v>6.9930069930070893E-3</v>
      </c>
    </row>
    <row r="59" spans="1:3" x14ac:dyDescent="0.25">
      <c r="A59" s="3">
        <v>57</v>
      </c>
      <c r="B59" s="5">
        <f>1-(((200+10*参数!$B$3)*(1-A59/100))/(((200+10*参数!$B$3)*(1-A59/100))+200+10*参数!$B$2))</f>
        <v>0.69930069930069927</v>
      </c>
      <c r="C59" s="6">
        <f t="shared" si="1"/>
        <v>7.0422535211267512E-3</v>
      </c>
    </row>
    <row r="60" spans="1:3" x14ac:dyDescent="0.25">
      <c r="A60" s="3">
        <v>58</v>
      </c>
      <c r="B60" s="5">
        <f>1-(((200+10*参数!$B$3)*(1-A60/100))/(((200+10*参数!$B$3)*(1-A60/100))+200+10*参数!$B$2))</f>
        <v>0.70422535211267601</v>
      </c>
      <c r="C60" s="6">
        <f t="shared" si="1"/>
        <v>7.0921985815601829E-3</v>
      </c>
    </row>
    <row r="61" spans="1:3" x14ac:dyDescent="0.25">
      <c r="A61" s="3">
        <v>59</v>
      </c>
      <c r="B61" s="5">
        <f>1-(((200+10*参数!$B$3)*(1-A61/100))/(((200+10*参数!$B$3)*(1-A61/100))+200+10*参数!$B$2))</f>
        <v>0.70921985815602828</v>
      </c>
      <c r="C61" s="6">
        <f t="shared" si="1"/>
        <v>7.1428571428573395E-3</v>
      </c>
    </row>
    <row r="62" spans="1:3" x14ac:dyDescent="0.25">
      <c r="A62" s="3">
        <v>60</v>
      </c>
      <c r="B62" s="5">
        <f>1-(((200+10*参数!$B$3)*(1-A62/100))/(((200+10*参数!$B$3)*(1-A62/100))+200+10*参数!$B$2))</f>
        <v>0.7142857142857143</v>
      </c>
      <c r="C62" s="6">
        <f t="shared" si="1"/>
        <v>7.194244604316502E-3</v>
      </c>
    </row>
    <row r="63" spans="1:3" x14ac:dyDescent="0.25">
      <c r="A63" s="3">
        <v>61</v>
      </c>
      <c r="B63" s="5">
        <f>1-(((200+10*参数!$B$3)*(1-A63/100))/(((200+10*参数!$B$3)*(1-A63/100))+200+10*参数!$B$2))</f>
        <v>0.71942446043165464</v>
      </c>
      <c r="C63" s="6">
        <f t="shared" si="1"/>
        <v>7.2463768115942351E-3</v>
      </c>
    </row>
    <row r="64" spans="1:3" x14ac:dyDescent="0.25">
      <c r="A64" s="3">
        <v>62</v>
      </c>
      <c r="B64" s="5">
        <f>1-(((200+10*参数!$B$3)*(1-A64/100))/(((200+10*参数!$B$3)*(1-A64/100))+200+10*参数!$B$2))</f>
        <v>0.72463768115942029</v>
      </c>
      <c r="C64" s="6">
        <f t="shared" si="1"/>
        <v>7.2992700729928028E-3</v>
      </c>
    </row>
    <row r="65" spans="1:3" x14ac:dyDescent="0.25">
      <c r="A65" s="3">
        <v>63</v>
      </c>
      <c r="B65" s="5">
        <f>1-(((200+10*参数!$B$3)*(1-A65/100))/(((200+10*参数!$B$3)*(1-A65/100))+200+10*参数!$B$2))</f>
        <v>0.72992700729927007</v>
      </c>
      <c r="C65" s="6">
        <f t="shared" si="1"/>
        <v>7.3529411764705621E-3</v>
      </c>
    </row>
    <row r="66" spans="1:3" x14ac:dyDescent="0.25">
      <c r="A66" s="3">
        <v>64</v>
      </c>
      <c r="B66" s="5">
        <f>1-(((200+10*参数!$B$3)*(1-A66/100))/(((200+10*参数!$B$3)*(1-A66/100))+200+10*参数!$B$2))</f>
        <v>0.73529411764705888</v>
      </c>
      <c r="C66" s="6">
        <f t="shared" ref="C66:C97" si="2">B67/B66-1</f>
        <v>7.4074074074073071E-3</v>
      </c>
    </row>
    <row r="67" spans="1:3" x14ac:dyDescent="0.25">
      <c r="A67" s="3">
        <v>65</v>
      </c>
      <c r="B67" s="5">
        <f>1-(((200+10*参数!$B$3)*(1-A67/100))/(((200+10*参数!$B$3)*(1-A67/100))+200+10*参数!$B$2))</f>
        <v>0.7407407407407407</v>
      </c>
      <c r="C67" s="6">
        <f t="shared" si="2"/>
        <v>7.4626865671643117E-3</v>
      </c>
    </row>
    <row r="68" spans="1:3" x14ac:dyDescent="0.25">
      <c r="A68" s="3">
        <v>66</v>
      </c>
      <c r="B68" s="5">
        <f>1-(((200+10*参数!$B$3)*(1-A68/100))/(((200+10*参数!$B$3)*(1-A68/100))+200+10*参数!$B$2))</f>
        <v>0.74626865671641796</v>
      </c>
      <c r="C68" s="6">
        <f t="shared" si="2"/>
        <v>7.5187969924812581E-3</v>
      </c>
    </row>
    <row r="69" spans="1:3" x14ac:dyDescent="0.25">
      <c r="A69" s="3">
        <v>67</v>
      </c>
      <c r="B69" s="5">
        <f>1-(((200+10*参数!$B$3)*(1-A69/100))/(((200+10*参数!$B$3)*(1-A69/100))+200+10*参数!$B$2))</f>
        <v>0.75187969924812037</v>
      </c>
      <c r="C69" s="6">
        <f t="shared" si="2"/>
        <v>7.575757575757569E-3</v>
      </c>
    </row>
    <row r="70" spans="1:3" x14ac:dyDescent="0.25">
      <c r="A70" s="3">
        <v>68</v>
      </c>
      <c r="B70" s="5">
        <f>1-(((200+10*参数!$B$3)*(1-A70/100))/(((200+10*参数!$B$3)*(1-A70/100))+200+10*参数!$B$2))</f>
        <v>0.75757575757575757</v>
      </c>
      <c r="C70" s="6">
        <f t="shared" si="2"/>
        <v>7.6335877862594437E-3</v>
      </c>
    </row>
    <row r="71" spans="1:3" x14ac:dyDescent="0.25">
      <c r="A71" s="3">
        <v>69</v>
      </c>
      <c r="B71" s="5">
        <f>1-(((200+10*参数!$B$3)*(1-A71/100))/(((200+10*参数!$B$3)*(1-A71/100))+200+10*参数!$B$2))</f>
        <v>0.76335877862595414</v>
      </c>
      <c r="C71" s="6">
        <f t="shared" si="2"/>
        <v>7.692307692307665E-3</v>
      </c>
    </row>
    <row r="72" spans="1:3" x14ac:dyDescent="0.25">
      <c r="A72" s="3">
        <v>70</v>
      </c>
      <c r="B72" s="5">
        <f>1-(((200+10*参数!$B$3)*(1-A72/100))/(((200+10*参数!$B$3)*(1-A72/100))+200+10*参数!$B$2))</f>
        <v>0.76923076923076916</v>
      </c>
      <c r="C72" s="6">
        <f t="shared" si="2"/>
        <v>7.7519379844961378E-3</v>
      </c>
    </row>
    <row r="73" spans="1:3" x14ac:dyDescent="0.25">
      <c r="A73" s="3">
        <v>71</v>
      </c>
      <c r="B73" s="5">
        <f>1-(((200+10*参数!$B$3)*(1-A73/100))/(((200+10*参数!$B$3)*(1-A73/100))+200+10*参数!$B$2))</f>
        <v>0.77519379844961234</v>
      </c>
      <c r="C73" s="6">
        <f t="shared" si="2"/>
        <v>7.8125E-3</v>
      </c>
    </row>
    <row r="74" spans="1:3" x14ac:dyDescent="0.25">
      <c r="A74" s="3">
        <v>72</v>
      </c>
      <c r="B74" s="5">
        <f>1-(((200+10*参数!$B$3)*(1-A74/100))/(((200+10*参数!$B$3)*(1-A74/100))+200+10*参数!$B$2))</f>
        <v>0.78125</v>
      </c>
      <c r="C74" s="6">
        <f t="shared" si="2"/>
        <v>7.8740157480314821E-3</v>
      </c>
    </row>
    <row r="75" spans="1:3" x14ac:dyDescent="0.25">
      <c r="A75" s="3">
        <v>73</v>
      </c>
      <c r="B75" s="5">
        <f>1-(((200+10*参数!$B$3)*(1-A75/100))/(((200+10*参数!$B$3)*(1-A75/100))+200+10*参数!$B$2))</f>
        <v>0.78740157480314954</v>
      </c>
      <c r="C75" s="6">
        <f t="shared" si="2"/>
        <v>7.9365079365081304E-3</v>
      </c>
    </row>
    <row r="76" spans="1:3" x14ac:dyDescent="0.25">
      <c r="A76" s="3">
        <v>74</v>
      </c>
      <c r="B76" s="5">
        <f>1-(((200+10*参数!$B$3)*(1-A76/100))/(((200+10*参数!$B$3)*(1-A76/100))+200+10*参数!$B$2))</f>
        <v>0.79365079365079372</v>
      </c>
      <c r="C76" s="6">
        <f t="shared" si="2"/>
        <v>8.0000000000000071E-3</v>
      </c>
    </row>
    <row r="77" spans="1:3" x14ac:dyDescent="0.25">
      <c r="A77" s="3">
        <v>75</v>
      </c>
      <c r="B77" s="5">
        <f>1-(((200+10*参数!$B$3)*(1-A77/100))/(((200+10*参数!$B$3)*(1-A77/100))+200+10*参数!$B$2))</f>
        <v>0.8</v>
      </c>
      <c r="C77" s="6">
        <f t="shared" si="2"/>
        <v>8.0645161290320289E-3</v>
      </c>
    </row>
    <row r="78" spans="1:3" x14ac:dyDescent="0.25">
      <c r="A78" s="3">
        <v>76</v>
      </c>
      <c r="B78" s="5">
        <f>1-(((200+10*参数!$B$3)*(1-A78/100))/(((200+10*参数!$B$3)*(1-A78/100))+200+10*参数!$B$2))</f>
        <v>0.80645161290322576</v>
      </c>
      <c r="C78" s="6">
        <f t="shared" si="2"/>
        <v>8.1300813008129413E-3</v>
      </c>
    </row>
    <row r="79" spans="1:3" x14ac:dyDescent="0.25">
      <c r="A79" s="3">
        <v>77</v>
      </c>
      <c r="B79" s="5">
        <f>1-(((200+10*参数!$B$3)*(1-A79/100))/(((200+10*参数!$B$3)*(1-A79/100))+200+10*参数!$B$2))</f>
        <v>0.81300813008130079</v>
      </c>
      <c r="C79" s="6">
        <f t="shared" si="2"/>
        <v>8.19672131147553E-3</v>
      </c>
    </row>
    <row r="80" spans="1:3" x14ac:dyDescent="0.25">
      <c r="A80" s="3">
        <v>78</v>
      </c>
      <c r="B80" s="5">
        <f>1-(((200+10*参数!$B$3)*(1-A80/100))/(((200+10*参数!$B$3)*(1-A80/100))+200+10*参数!$B$2))</f>
        <v>0.81967213114754101</v>
      </c>
      <c r="C80" s="6">
        <f t="shared" si="2"/>
        <v>8.2644628099173278E-3</v>
      </c>
    </row>
    <row r="81" spans="1:3" x14ac:dyDescent="0.25">
      <c r="A81" s="3">
        <v>79</v>
      </c>
      <c r="B81" s="5">
        <f>1-(((200+10*参数!$B$3)*(1-A81/100))/(((200+10*参数!$B$3)*(1-A81/100))+200+10*参数!$B$2))</f>
        <v>0.82644628099173556</v>
      </c>
      <c r="C81" s="6">
        <f t="shared" si="2"/>
        <v>8.3333333333333037E-3</v>
      </c>
    </row>
    <row r="82" spans="1:3" x14ac:dyDescent="0.25">
      <c r="A82" s="3">
        <v>80</v>
      </c>
      <c r="B82" s="5">
        <f>1-(((200+10*参数!$B$3)*(1-A82/100))/(((200+10*参数!$B$3)*(1-A82/100))+200+10*参数!$B$2))</f>
        <v>0.83333333333333337</v>
      </c>
      <c r="C82" s="6">
        <f t="shared" si="2"/>
        <v>8.4033613445377853E-3</v>
      </c>
    </row>
    <row r="83" spans="1:3" x14ac:dyDescent="0.25">
      <c r="A83" s="3">
        <v>81</v>
      </c>
      <c r="B83" s="5">
        <f>1-(((200+10*参数!$B$3)*(1-A83/100))/(((200+10*参数!$B$3)*(1-A83/100))+200+10*参数!$B$2))</f>
        <v>0.84033613445378152</v>
      </c>
      <c r="C83" s="6">
        <f t="shared" si="2"/>
        <v>8.4745762711864181E-3</v>
      </c>
    </row>
    <row r="84" spans="1:3" x14ac:dyDescent="0.25">
      <c r="A84" s="3">
        <v>82</v>
      </c>
      <c r="B84" s="5">
        <f>1-(((200+10*参数!$B$3)*(1-A84/100))/(((200+10*参数!$B$3)*(1-A84/100))+200+10*参数!$B$2))</f>
        <v>0.84745762711864403</v>
      </c>
      <c r="C84" s="6">
        <f t="shared" si="2"/>
        <v>8.5470085470085166E-3</v>
      </c>
    </row>
    <row r="85" spans="1:3" x14ac:dyDescent="0.25">
      <c r="A85" s="3">
        <v>83</v>
      </c>
      <c r="B85" s="5">
        <f>1-(((200+10*参数!$B$3)*(1-A85/100))/(((200+10*参数!$B$3)*(1-A85/100))+200+10*参数!$B$2))</f>
        <v>0.85470085470085466</v>
      </c>
      <c r="C85" s="6">
        <f t="shared" si="2"/>
        <v>8.6206896551723755E-3</v>
      </c>
    </row>
    <row r="86" spans="1:3" x14ac:dyDescent="0.25">
      <c r="A86" s="3">
        <v>84</v>
      </c>
      <c r="B86" s="5">
        <f>1-(((200+10*参数!$B$3)*(1-A86/100))/(((200+10*参数!$B$3)*(1-A86/100))+200+10*参数!$B$2))</f>
        <v>0.86206896551724133</v>
      </c>
      <c r="C86" s="6">
        <f t="shared" si="2"/>
        <v>8.6956521739129933E-3</v>
      </c>
    </row>
    <row r="87" spans="1:3" x14ac:dyDescent="0.25">
      <c r="A87" s="3">
        <v>85</v>
      </c>
      <c r="B87" s="5">
        <f>1-(((200+10*参数!$B$3)*(1-A87/100))/(((200+10*参数!$B$3)*(1-A87/100))+200+10*参数!$B$2))</f>
        <v>0.86956521739130432</v>
      </c>
      <c r="C87" s="6">
        <f t="shared" si="2"/>
        <v>8.7719298245614308E-3</v>
      </c>
    </row>
    <row r="88" spans="1:3" x14ac:dyDescent="0.25">
      <c r="A88" s="3">
        <v>86</v>
      </c>
      <c r="B88" s="5">
        <f>1-(((200+10*参数!$B$3)*(1-A88/100))/(((200+10*参数!$B$3)*(1-A88/100))+200+10*参数!$B$2))</f>
        <v>0.87719298245614041</v>
      </c>
      <c r="C88" s="6">
        <f t="shared" si="2"/>
        <v>8.8495575221239076E-3</v>
      </c>
    </row>
    <row r="89" spans="1:3" x14ac:dyDescent="0.25">
      <c r="A89" s="3">
        <v>87</v>
      </c>
      <c r="B89" s="5">
        <f>1-(((200+10*参数!$B$3)*(1-A89/100))/(((200+10*参数!$B$3)*(1-A89/100))+200+10*参数!$B$2))</f>
        <v>0.88495575221238942</v>
      </c>
      <c r="C89" s="6">
        <f t="shared" si="2"/>
        <v>8.9285714285713969E-3</v>
      </c>
    </row>
    <row r="90" spans="1:3" x14ac:dyDescent="0.25">
      <c r="A90" s="3">
        <v>88</v>
      </c>
      <c r="B90" s="5">
        <f>1-(((200+10*参数!$B$3)*(1-A90/100))/(((200+10*参数!$B$3)*(1-A90/100))+200+10*参数!$B$2))</f>
        <v>0.8928571428571429</v>
      </c>
      <c r="C90" s="6">
        <f t="shared" si="2"/>
        <v>9.009009009008917E-3</v>
      </c>
    </row>
    <row r="91" spans="1:3" x14ac:dyDescent="0.25">
      <c r="A91" s="3">
        <v>89</v>
      </c>
      <c r="B91" s="5">
        <f>1-(((200+10*参数!$B$3)*(1-A91/100))/(((200+10*参数!$B$3)*(1-A91/100))+200+10*参数!$B$2))</f>
        <v>0.90090090090090091</v>
      </c>
      <c r="C91" s="6">
        <f t="shared" si="2"/>
        <v>9.0909090909092605E-3</v>
      </c>
    </row>
    <row r="92" spans="1:3" x14ac:dyDescent="0.25">
      <c r="A92" s="3">
        <v>90</v>
      </c>
      <c r="B92" s="5">
        <f>1-(((200+10*参数!$B$3)*(1-A92/100))/(((200+10*参数!$B$3)*(1-A92/100))+200+10*参数!$B$2))</f>
        <v>0.90909090909090917</v>
      </c>
      <c r="C92" s="6">
        <f t="shared" si="2"/>
        <v>9.1743119266054496E-3</v>
      </c>
    </row>
    <row r="93" spans="1:3" x14ac:dyDescent="0.25">
      <c r="A93" s="3">
        <v>91</v>
      </c>
      <c r="B93" s="5">
        <f>1-(((200+10*参数!$B$3)*(1-A93/100))/(((200+10*参数!$B$3)*(1-A93/100))+200+10*参数!$B$2))</f>
        <v>0.91743119266055051</v>
      </c>
      <c r="C93" s="6">
        <f t="shared" si="2"/>
        <v>9.2592592592593004E-3</v>
      </c>
    </row>
    <row r="94" spans="1:3" x14ac:dyDescent="0.25">
      <c r="A94" s="3">
        <v>92</v>
      </c>
      <c r="B94" s="5">
        <f>1-(((200+10*参数!$B$3)*(1-A94/100))/(((200+10*参数!$B$3)*(1-A94/100))+200+10*参数!$B$2))</f>
        <v>0.92592592592592593</v>
      </c>
      <c r="C94" s="6">
        <f t="shared" si="2"/>
        <v>9.3457943925232545E-3</v>
      </c>
    </row>
    <row r="95" spans="1:3" x14ac:dyDescent="0.25">
      <c r="A95" s="3">
        <v>93</v>
      </c>
      <c r="B95" s="5">
        <f>1-(((200+10*参数!$B$3)*(1-A95/100))/(((200+10*参数!$B$3)*(1-A95/100))+200+10*参数!$B$2))</f>
        <v>0.93457943925233644</v>
      </c>
      <c r="C95" s="6">
        <f t="shared" si="2"/>
        <v>9.4339622641508303E-3</v>
      </c>
    </row>
    <row r="96" spans="1:3" x14ac:dyDescent="0.25">
      <c r="A96" s="3">
        <v>94</v>
      </c>
      <c r="B96" s="5">
        <f>1-(((200+10*参数!$B$3)*(1-A96/100))/(((200+10*参数!$B$3)*(1-A96/100))+200+10*参数!$B$2))</f>
        <v>0.94339622641509424</v>
      </c>
      <c r="C96" s="6">
        <f t="shared" si="2"/>
        <v>9.52380952380949E-3</v>
      </c>
    </row>
    <row r="97" spans="1:3" x14ac:dyDescent="0.25">
      <c r="A97" s="3">
        <v>95</v>
      </c>
      <c r="B97" s="5">
        <f>1-(((200+10*参数!$B$3)*(1-A97/100))/(((200+10*参数!$B$3)*(1-A97/100))+200+10*参数!$B$2))</f>
        <v>0.95238095238095233</v>
      </c>
      <c r="C97" s="6">
        <f t="shared" si="2"/>
        <v>9.6153846153845812E-3</v>
      </c>
    </row>
    <row r="98" spans="1:3" x14ac:dyDescent="0.25">
      <c r="A98" s="3">
        <v>96</v>
      </c>
      <c r="B98" s="5">
        <f>1-(((200+10*参数!$B$3)*(1-A98/100))/(((200+10*参数!$B$3)*(1-A98/100))+200+10*参数!$B$2))</f>
        <v>0.96153846153846145</v>
      </c>
      <c r="C98" s="6">
        <f t="shared" ref="C98:C129" si="3">B99/B98-1</f>
        <v>9.7087378640776656E-3</v>
      </c>
    </row>
    <row r="99" spans="1:3" x14ac:dyDescent="0.25">
      <c r="A99" s="3">
        <v>97</v>
      </c>
      <c r="B99" s="5">
        <f>1-(((200+10*参数!$B$3)*(1-A99/100))/(((200+10*参数!$B$3)*(1-A99/100))+200+10*参数!$B$2))</f>
        <v>0.970873786407767</v>
      </c>
      <c r="C99" s="6">
        <f t="shared" si="3"/>
        <v>9.8039215686274161E-3</v>
      </c>
    </row>
    <row r="100" spans="1:3" x14ac:dyDescent="0.25">
      <c r="A100" s="3">
        <v>98</v>
      </c>
      <c r="B100" s="5">
        <f>1-(((200+10*参数!$B$3)*(1-A100/100))/(((200+10*参数!$B$3)*(1-A100/100))+200+10*参数!$B$2))</f>
        <v>0.98039215686274506</v>
      </c>
      <c r="C100" s="6">
        <f t="shared" si="3"/>
        <v>9.9009900990099098E-3</v>
      </c>
    </row>
    <row r="101" spans="1:3" x14ac:dyDescent="0.25">
      <c r="A101" s="3">
        <v>99</v>
      </c>
      <c r="B101" s="5">
        <f>1-(((200+10*参数!$B$3)*(1-A101/100))/(((200+10*参数!$B$3)*(1-A101/100))+200+10*参数!$B$2))</f>
        <v>0.99009900990099009</v>
      </c>
      <c r="C101" s="6">
        <f t="shared" si="3"/>
        <v>1.0000000000000009E-2</v>
      </c>
    </row>
    <row r="102" spans="1:3" x14ac:dyDescent="0.25">
      <c r="A102" s="3">
        <v>100</v>
      </c>
      <c r="B102" s="5">
        <f>1-(((200+10*参数!$B$3)*(1-A102/100))/(((200+10*参数!$B$3)*(1-A102/100))+200+10*参数!$B$2))</f>
        <v>1</v>
      </c>
      <c r="C102" s="6"/>
    </row>
  </sheetData>
  <mergeCells count="1">
    <mergeCell ref="E2:H5"/>
  </mergeCells>
  <phoneticPr fontId="2" type="noConversion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2"/>
  <sheetViews>
    <sheetView zoomScale="90" workbookViewId="0">
      <pane ySplit="1" topLeftCell="A2" activePane="bottomLeft" state="frozen"/>
      <selection pane="bottomLeft"/>
    </sheetView>
  </sheetViews>
  <sheetFormatPr defaultRowHeight="14" x14ac:dyDescent="0.25"/>
  <cols>
    <col min="1" max="2" width="14" customWidth="1"/>
    <col min="3" max="3" width="16" customWidth="1"/>
    <col min="5" max="8" width="18" customWidth="1"/>
  </cols>
  <sheetData>
    <row r="1" spans="1:8" ht="28" customHeight="1" x14ac:dyDescent="0.25">
      <c r="A1" s="1" t="s">
        <v>63</v>
      </c>
      <c r="B1" s="1" t="s">
        <v>50</v>
      </c>
      <c r="C1" s="1" t="s">
        <v>51</v>
      </c>
      <c r="E1" s="4" t="s">
        <v>31</v>
      </c>
    </row>
    <row r="2" spans="1:8" x14ac:dyDescent="0.25">
      <c r="A2" s="3">
        <v>0</v>
      </c>
      <c r="B2" s="5">
        <f>1-MAX(-100,MIN(90,参数!$B$4-A2))/100</f>
        <v>0.8</v>
      </c>
      <c r="C2" s="6">
        <f t="shared" ref="C2:C33" si="0">B3/B2-1</f>
        <v>1.2499999999999956E-2</v>
      </c>
      <c r="E2" s="7" t="s">
        <v>64</v>
      </c>
      <c r="F2" s="8"/>
      <c r="G2" s="8"/>
      <c r="H2" s="8"/>
    </row>
    <row r="3" spans="1:8" x14ac:dyDescent="0.25">
      <c r="A3" s="3">
        <v>1</v>
      </c>
      <c r="B3" s="5">
        <f>1-MAX(-100,MIN(90,参数!$B$4-A3))/100</f>
        <v>0.81</v>
      </c>
      <c r="C3" s="6">
        <f t="shared" si="0"/>
        <v>1.2345679012345734E-2</v>
      </c>
      <c r="E3" s="8"/>
      <c r="F3" s="8"/>
      <c r="G3" s="8"/>
      <c r="H3" s="8"/>
    </row>
    <row r="4" spans="1:8" x14ac:dyDescent="0.25">
      <c r="A4" s="3">
        <v>2</v>
      </c>
      <c r="B4" s="5">
        <f>1-MAX(-100,MIN(90,参数!$B$4-A4))/100</f>
        <v>0.82000000000000006</v>
      </c>
      <c r="C4" s="6">
        <f t="shared" si="0"/>
        <v>1.2195121951219301E-2</v>
      </c>
      <c r="E4" s="8"/>
      <c r="F4" s="8"/>
      <c r="G4" s="8"/>
      <c r="H4" s="8"/>
    </row>
    <row r="5" spans="1:8" x14ac:dyDescent="0.25">
      <c r="A5" s="3">
        <v>3</v>
      </c>
      <c r="B5" s="5">
        <f>1-MAX(-100,MIN(90,参数!$B$4-A5))/100</f>
        <v>0.83</v>
      </c>
      <c r="C5" s="6">
        <f t="shared" si="0"/>
        <v>1.2048192771084265E-2</v>
      </c>
      <c r="E5" s="8"/>
      <c r="F5" s="8"/>
      <c r="G5" s="8"/>
      <c r="H5" s="8"/>
    </row>
    <row r="6" spans="1:8" x14ac:dyDescent="0.25">
      <c r="A6" s="3">
        <v>4</v>
      </c>
      <c r="B6" s="5">
        <f>1-MAX(-100,MIN(90,参数!$B$4-A6))/100</f>
        <v>0.84</v>
      </c>
      <c r="C6" s="6">
        <f t="shared" si="0"/>
        <v>1.1904761904761862E-2</v>
      </c>
    </row>
    <row r="7" spans="1:8" x14ac:dyDescent="0.25">
      <c r="A7" s="3">
        <v>5</v>
      </c>
      <c r="B7" s="5">
        <f>1-MAX(-100,MIN(90,参数!$B$4-A7))/100</f>
        <v>0.85</v>
      </c>
      <c r="C7" s="6">
        <f t="shared" si="0"/>
        <v>1.1764705882352899E-2</v>
      </c>
    </row>
    <row r="8" spans="1:8" x14ac:dyDescent="0.25">
      <c r="A8" s="3">
        <v>6</v>
      </c>
      <c r="B8" s="5">
        <f>1-MAX(-100,MIN(90,参数!$B$4-A8))/100</f>
        <v>0.86</v>
      </c>
      <c r="C8" s="6">
        <f t="shared" si="0"/>
        <v>1.1627906976744207E-2</v>
      </c>
    </row>
    <row r="9" spans="1:8" x14ac:dyDescent="0.25">
      <c r="A9" s="3">
        <v>7</v>
      </c>
      <c r="B9" s="5">
        <f>1-MAX(-100,MIN(90,参数!$B$4-A9))/100</f>
        <v>0.87</v>
      </c>
      <c r="C9" s="6">
        <f t="shared" si="0"/>
        <v>1.1494252873563315E-2</v>
      </c>
    </row>
    <row r="10" spans="1:8" x14ac:dyDescent="0.25">
      <c r="A10" s="3">
        <v>8</v>
      </c>
      <c r="B10" s="5">
        <f>1-MAX(-100,MIN(90,参数!$B$4-A10))/100</f>
        <v>0.88</v>
      </c>
      <c r="C10" s="6">
        <f t="shared" si="0"/>
        <v>1.1363636363636465E-2</v>
      </c>
    </row>
    <row r="11" spans="1:8" x14ac:dyDescent="0.25">
      <c r="A11" s="3">
        <v>9</v>
      </c>
      <c r="B11" s="5">
        <f>1-MAX(-100,MIN(90,参数!$B$4-A11))/100</f>
        <v>0.89</v>
      </c>
      <c r="C11" s="6">
        <f t="shared" si="0"/>
        <v>1.1235955056179803E-2</v>
      </c>
    </row>
    <row r="12" spans="1:8" x14ac:dyDescent="0.25">
      <c r="A12" s="3">
        <v>10</v>
      </c>
      <c r="B12" s="5">
        <f>1-MAX(-100,MIN(90,参数!$B$4-A12))/100</f>
        <v>0.9</v>
      </c>
      <c r="C12" s="6">
        <f t="shared" si="0"/>
        <v>1.1111111111111072E-2</v>
      </c>
    </row>
    <row r="13" spans="1:8" x14ac:dyDescent="0.25">
      <c r="A13" s="3">
        <v>11</v>
      </c>
      <c r="B13" s="5">
        <f>1-MAX(-100,MIN(90,参数!$B$4-A13))/100</f>
        <v>0.91</v>
      </c>
      <c r="C13" s="6">
        <f t="shared" si="0"/>
        <v>1.098901098901095E-2</v>
      </c>
    </row>
    <row r="14" spans="1:8" x14ac:dyDescent="0.25">
      <c r="A14" s="3">
        <v>12</v>
      </c>
      <c r="B14" s="5">
        <f>1-MAX(-100,MIN(90,参数!$B$4-A14))/100</f>
        <v>0.92</v>
      </c>
      <c r="C14" s="6">
        <f t="shared" si="0"/>
        <v>1.0869565217391131E-2</v>
      </c>
    </row>
    <row r="15" spans="1:8" x14ac:dyDescent="0.25">
      <c r="A15" s="3">
        <v>13</v>
      </c>
      <c r="B15" s="5">
        <f>1-MAX(-100,MIN(90,参数!$B$4-A15))/100</f>
        <v>0.92999999999999994</v>
      </c>
      <c r="C15" s="6">
        <f t="shared" si="0"/>
        <v>1.0752688172043001E-2</v>
      </c>
    </row>
    <row r="16" spans="1:8" x14ac:dyDescent="0.25">
      <c r="A16" s="3">
        <v>14</v>
      </c>
      <c r="B16" s="5">
        <f>1-MAX(-100,MIN(90,参数!$B$4-A16))/100</f>
        <v>0.94</v>
      </c>
      <c r="C16" s="6">
        <f t="shared" si="0"/>
        <v>1.0638297872340496E-2</v>
      </c>
    </row>
    <row r="17" spans="1:3" x14ac:dyDescent="0.25">
      <c r="A17" s="3">
        <v>15</v>
      </c>
      <c r="B17" s="5">
        <f>1-MAX(-100,MIN(90,参数!$B$4-A17))/100</f>
        <v>0.95</v>
      </c>
      <c r="C17" s="6">
        <f t="shared" si="0"/>
        <v>1.0526315789473717E-2</v>
      </c>
    </row>
    <row r="18" spans="1:3" x14ac:dyDescent="0.25">
      <c r="A18" s="3">
        <v>16</v>
      </c>
      <c r="B18" s="5">
        <f>1-MAX(-100,MIN(90,参数!$B$4-A18))/100</f>
        <v>0.96</v>
      </c>
      <c r="C18" s="6">
        <f t="shared" si="0"/>
        <v>1.0416666666666741E-2</v>
      </c>
    </row>
    <row r="19" spans="1:3" x14ac:dyDescent="0.25">
      <c r="A19" s="3">
        <v>17</v>
      </c>
      <c r="B19" s="5">
        <f>1-MAX(-100,MIN(90,参数!$B$4-A19))/100</f>
        <v>0.97</v>
      </c>
      <c r="C19" s="6">
        <f t="shared" si="0"/>
        <v>1.0309278350515427E-2</v>
      </c>
    </row>
    <row r="20" spans="1:3" x14ac:dyDescent="0.25">
      <c r="A20" s="3">
        <v>18</v>
      </c>
      <c r="B20" s="5">
        <f>1-MAX(-100,MIN(90,参数!$B$4-A20))/100</f>
        <v>0.98</v>
      </c>
      <c r="C20" s="6">
        <f t="shared" si="0"/>
        <v>1.0204081632652962E-2</v>
      </c>
    </row>
    <row r="21" spans="1:3" x14ac:dyDescent="0.25">
      <c r="A21" s="3">
        <v>19</v>
      </c>
      <c r="B21" s="5">
        <f>1-MAX(-100,MIN(90,参数!$B$4-A21))/100</f>
        <v>0.99</v>
      </c>
      <c r="C21" s="6">
        <f t="shared" si="0"/>
        <v>1.0101010101010166E-2</v>
      </c>
    </row>
    <row r="22" spans="1:3" x14ac:dyDescent="0.25">
      <c r="A22" s="3">
        <v>20</v>
      </c>
      <c r="B22" s="5">
        <f>1-MAX(-100,MIN(90,参数!$B$4-A22))/100</f>
        <v>1</v>
      </c>
      <c r="C22" s="6">
        <f t="shared" si="0"/>
        <v>1.0000000000000009E-2</v>
      </c>
    </row>
    <row r="23" spans="1:3" x14ac:dyDescent="0.25">
      <c r="A23" s="3">
        <v>21</v>
      </c>
      <c r="B23" s="5">
        <f>1-MAX(-100,MIN(90,参数!$B$4-A23))/100</f>
        <v>1.01</v>
      </c>
      <c r="C23" s="6">
        <f t="shared" si="0"/>
        <v>9.9009900990099098E-3</v>
      </c>
    </row>
    <row r="24" spans="1:3" x14ac:dyDescent="0.25">
      <c r="A24" s="3">
        <v>22</v>
      </c>
      <c r="B24" s="5">
        <f>1-MAX(-100,MIN(90,参数!$B$4-A24))/100</f>
        <v>1.02</v>
      </c>
      <c r="C24" s="6">
        <f t="shared" si="0"/>
        <v>9.8039215686274161E-3</v>
      </c>
    </row>
    <row r="25" spans="1:3" x14ac:dyDescent="0.25">
      <c r="A25" s="3">
        <v>23</v>
      </c>
      <c r="B25" s="5">
        <f>1-MAX(-100,MIN(90,参数!$B$4-A25))/100</f>
        <v>1.03</v>
      </c>
      <c r="C25" s="6">
        <f t="shared" si="0"/>
        <v>9.7087378640776656E-3</v>
      </c>
    </row>
    <row r="26" spans="1:3" x14ac:dyDescent="0.25">
      <c r="A26" s="3">
        <v>24</v>
      </c>
      <c r="B26" s="5">
        <f>1-MAX(-100,MIN(90,参数!$B$4-A26))/100</f>
        <v>1.04</v>
      </c>
      <c r="C26" s="6">
        <f t="shared" si="0"/>
        <v>9.6153846153845812E-3</v>
      </c>
    </row>
    <row r="27" spans="1:3" x14ac:dyDescent="0.25">
      <c r="A27" s="3">
        <v>25</v>
      </c>
      <c r="B27" s="5">
        <f>1-MAX(-100,MIN(90,参数!$B$4-A27))/100</f>
        <v>1.05</v>
      </c>
      <c r="C27" s="6">
        <f t="shared" si="0"/>
        <v>9.52380952380949E-3</v>
      </c>
    </row>
    <row r="28" spans="1:3" x14ac:dyDescent="0.25">
      <c r="A28" s="3">
        <v>26</v>
      </c>
      <c r="B28" s="5">
        <f>1-MAX(-100,MIN(90,参数!$B$4-A28))/100</f>
        <v>1.06</v>
      </c>
      <c r="C28" s="6">
        <f t="shared" si="0"/>
        <v>9.4339622641510523E-3</v>
      </c>
    </row>
    <row r="29" spans="1:3" x14ac:dyDescent="0.25">
      <c r="A29" s="3">
        <v>27</v>
      </c>
      <c r="B29" s="5">
        <f>1-MAX(-100,MIN(90,参数!$B$4-A29))/100</f>
        <v>1.07</v>
      </c>
      <c r="C29" s="6">
        <f t="shared" si="0"/>
        <v>9.3457943925234765E-3</v>
      </c>
    </row>
    <row r="30" spans="1:3" x14ac:dyDescent="0.25">
      <c r="A30" s="3">
        <v>28</v>
      </c>
      <c r="B30" s="5">
        <f>1-MAX(-100,MIN(90,参数!$B$4-A30))/100</f>
        <v>1.08</v>
      </c>
      <c r="C30" s="6">
        <f t="shared" si="0"/>
        <v>9.2592592592593004E-3</v>
      </c>
    </row>
    <row r="31" spans="1:3" x14ac:dyDescent="0.25">
      <c r="A31" s="3">
        <v>29</v>
      </c>
      <c r="B31" s="5">
        <f>1-MAX(-100,MIN(90,参数!$B$4-A31))/100</f>
        <v>1.0900000000000001</v>
      </c>
      <c r="C31" s="6">
        <f t="shared" si="0"/>
        <v>9.1743119266054496E-3</v>
      </c>
    </row>
    <row r="32" spans="1:3" x14ac:dyDescent="0.25">
      <c r="A32" s="3">
        <v>30</v>
      </c>
      <c r="B32" s="5">
        <f>1-MAX(-100,MIN(90,参数!$B$4-A32))/100</f>
        <v>1.1000000000000001</v>
      </c>
      <c r="C32" s="6">
        <f t="shared" si="0"/>
        <v>9.0909090909090384E-3</v>
      </c>
    </row>
    <row r="33" spans="1:3" x14ac:dyDescent="0.25">
      <c r="A33" s="3">
        <v>31</v>
      </c>
      <c r="B33" s="5">
        <f>1-MAX(-100,MIN(90,参数!$B$4-A33))/100</f>
        <v>1.1100000000000001</v>
      </c>
      <c r="C33" s="6">
        <f t="shared" si="0"/>
        <v>9.009009009008917E-3</v>
      </c>
    </row>
    <row r="34" spans="1:3" x14ac:dyDescent="0.25">
      <c r="A34" s="3">
        <v>32</v>
      </c>
      <c r="B34" s="5">
        <f>1-MAX(-100,MIN(90,参数!$B$4-A34))/100</f>
        <v>1.1200000000000001</v>
      </c>
      <c r="C34" s="6">
        <f t="shared" ref="C34:C65" si="1">B35/B34-1</f>
        <v>8.9285714285711748E-3</v>
      </c>
    </row>
    <row r="35" spans="1:3" x14ac:dyDescent="0.25">
      <c r="A35" s="3">
        <v>33</v>
      </c>
      <c r="B35" s="5">
        <f>1-MAX(-100,MIN(90,参数!$B$4-A35))/100</f>
        <v>1.1299999999999999</v>
      </c>
      <c r="C35" s="6">
        <f t="shared" si="1"/>
        <v>8.8495575221241296E-3</v>
      </c>
    </row>
    <row r="36" spans="1:3" x14ac:dyDescent="0.25">
      <c r="A36" s="3">
        <v>34</v>
      </c>
      <c r="B36" s="5">
        <f>1-MAX(-100,MIN(90,参数!$B$4-A36))/100</f>
        <v>1.1400000000000001</v>
      </c>
      <c r="C36" s="6">
        <f t="shared" si="1"/>
        <v>8.7719298245612087E-3</v>
      </c>
    </row>
    <row r="37" spans="1:3" x14ac:dyDescent="0.25">
      <c r="A37" s="3">
        <v>35</v>
      </c>
      <c r="B37" s="5">
        <f>1-MAX(-100,MIN(90,参数!$B$4-A37))/100</f>
        <v>1.1499999999999999</v>
      </c>
      <c r="C37" s="6">
        <f t="shared" si="1"/>
        <v>8.6956521739129933E-3</v>
      </c>
    </row>
    <row r="38" spans="1:3" x14ac:dyDescent="0.25">
      <c r="A38" s="3">
        <v>36</v>
      </c>
      <c r="B38" s="5">
        <f>1-MAX(-100,MIN(90,参数!$B$4-A38))/100</f>
        <v>1.1599999999999999</v>
      </c>
      <c r="C38" s="6">
        <f t="shared" si="1"/>
        <v>8.6206896551723755E-3</v>
      </c>
    </row>
    <row r="39" spans="1:3" x14ac:dyDescent="0.25">
      <c r="A39" s="3">
        <v>37</v>
      </c>
      <c r="B39" s="5">
        <f>1-MAX(-100,MIN(90,参数!$B$4-A39))/100</f>
        <v>1.17</v>
      </c>
      <c r="C39" s="6">
        <f t="shared" si="1"/>
        <v>8.5470085470085166E-3</v>
      </c>
    </row>
    <row r="40" spans="1:3" x14ac:dyDescent="0.25">
      <c r="A40" s="3">
        <v>38</v>
      </c>
      <c r="B40" s="5">
        <f>1-MAX(-100,MIN(90,参数!$B$4-A40))/100</f>
        <v>1.18</v>
      </c>
      <c r="C40" s="6">
        <f t="shared" si="1"/>
        <v>8.4745762711864181E-3</v>
      </c>
    </row>
    <row r="41" spans="1:3" x14ac:dyDescent="0.25">
      <c r="A41" s="3">
        <v>39</v>
      </c>
      <c r="B41" s="5">
        <f>1-MAX(-100,MIN(90,参数!$B$4-A41))/100</f>
        <v>1.19</v>
      </c>
      <c r="C41" s="6">
        <f t="shared" si="1"/>
        <v>8.4033613445377853E-3</v>
      </c>
    </row>
    <row r="42" spans="1:3" x14ac:dyDescent="0.25">
      <c r="A42" s="3">
        <v>40</v>
      </c>
      <c r="B42" s="5">
        <f>1-MAX(-100,MIN(90,参数!$B$4-A42))/100</f>
        <v>1.2</v>
      </c>
      <c r="C42" s="6">
        <f t="shared" si="1"/>
        <v>8.3333333333333037E-3</v>
      </c>
    </row>
    <row r="43" spans="1:3" x14ac:dyDescent="0.25">
      <c r="A43" s="3">
        <v>41</v>
      </c>
      <c r="B43" s="5">
        <f>1-MAX(-100,MIN(90,参数!$B$4-A43))/100</f>
        <v>1.21</v>
      </c>
      <c r="C43" s="6">
        <f t="shared" si="1"/>
        <v>8.2644628099173278E-3</v>
      </c>
    </row>
    <row r="44" spans="1:3" x14ac:dyDescent="0.25">
      <c r="A44" s="3">
        <v>42</v>
      </c>
      <c r="B44" s="5">
        <f>1-MAX(-100,MIN(90,参数!$B$4-A44))/100</f>
        <v>1.22</v>
      </c>
      <c r="C44" s="6">
        <f t="shared" si="1"/>
        <v>8.1967213114753079E-3</v>
      </c>
    </row>
    <row r="45" spans="1:3" x14ac:dyDescent="0.25">
      <c r="A45" s="3">
        <v>43</v>
      </c>
      <c r="B45" s="5">
        <f>1-MAX(-100,MIN(90,参数!$B$4-A45))/100</f>
        <v>1.23</v>
      </c>
      <c r="C45" s="6">
        <f t="shared" si="1"/>
        <v>8.1300813008129413E-3</v>
      </c>
    </row>
    <row r="46" spans="1:3" x14ac:dyDescent="0.25">
      <c r="A46" s="3">
        <v>44</v>
      </c>
      <c r="B46" s="5">
        <f>1-MAX(-100,MIN(90,参数!$B$4-A46))/100</f>
        <v>1.24</v>
      </c>
      <c r="C46" s="6">
        <f t="shared" si="1"/>
        <v>8.0645161290322509E-3</v>
      </c>
    </row>
    <row r="47" spans="1:3" x14ac:dyDescent="0.25">
      <c r="A47" s="3">
        <v>45</v>
      </c>
      <c r="B47" s="5">
        <f>1-MAX(-100,MIN(90,参数!$B$4-A47))/100</f>
        <v>1.25</v>
      </c>
      <c r="C47" s="6">
        <f t="shared" si="1"/>
        <v>8.0000000000000071E-3</v>
      </c>
    </row>
    <row r="48" spans="1:3" x14ac:dyDescent="0.25">
      <c r="A48" s="3">
        <v>46</v>
      </c>
      <c r="B48" s="5">
        <f>1-MAX(-100,MIN(90,参数!$B$4-A48))/100</f>
        <v>1.26</v>
      </c>
      <c r="C48" s="6">
        <f t="shared" si="1"/>
        <v>7.9365079365079083E-3</v>
      </c>
    </row>
    <row r="49" spans="1:3" x14ac:dyDescent="0.25">
      <c r="A49" s="3">
        <v>47</v>
      </c>
      <c r="B49" s="5">
        <f>1-MAX(-100,MIN(90,参数!$B$4-A49))/100</f>
        <v>1.27</v>
      </c>
      <c r="C49" s="6">
        <f t="shared" si="1"/>
        <v>7.8740157480314821E-3</v>
      </c>
    </row>
    <row r="50" spans="1:3" x14ac:dyDescent="0.25">
      <c r="A50" s="3">
        <v>48</v>
      </c>
      <c r="B50" s="5">
        <f>1-MAX(-100,MIN(90,参数!$B$4-A50))/100</f>
        <v>1.28</v>
      </c>
      <c r="C50" s="6">
        <f t="shared" si="1"/>
        <v>7.8125E-3</v>
      </c>
    </row>
    <row r="51" spans="1:3" x14ac:dyDescent="0.25">
      <c r="A51" s="3">
        <v>49</v>
      </c>
      <c r="B51" s="5">
        <f>1-MAX(-100,MIN(90,参数!$B$4-A51))/100</f>
        <v>1.29</v>
      </c>
      <c r="C51" s="6">
        <f t="shared" si="1"/>
        <v>7.7519379844961378E-3</v>
      </c>
    </row>
    <row r="52" spans="1:3" x14ac:dyDescent="0.25">
      <c r="A52" s="3">
        <v>50</v>
      </c>
      <c r="B52" s="5">
        <f>1-MAX(-100,MIN(90,参数!$B$4-A52))/100</f>
        <v>1.3</v>
      </c>
      <c r="C52" s="6">
        <f t="shared" si="1"/>
        <v>7.692307692307665E-3</v>
      </c>
    </row>
    <row r="53" spans="1:3" x14ac:dyDescent="0.25">
      <c r="A53" s="3">
        <v>51</v>
      </c>
      <c r="B53" s="5">
        <f>1-MAX(-100,MIN(90,参数!$B$4-A53))/100</f>
        <v>1.31</v>
      </c>
      <c r="C53" s="6">
        <f t="shared" si="1"/>
        <v>7.6335877862594437E-3</v>
      </c>
    </row>
    <row r="54" spans="1:3" x14ac:dyDescent="0.25">
      <c r="A54" s="3">
        <v>52</v>
      </c>
      <c r="B54" s="5">
        <f>1-MAX(-100,MIN(90,参数!$B$4-A54))/100</f>
        <v>1.32</v>
      </c>
      <c r="C54" s="6">
        <f t="shared" si="1"/>
        <v>7.575757575757569E-3</v>
      </c>
    </row>
    <row r="55" spans="1:3" x14ac:dyDescent="0.25">
      <c r="A55" s="3">
        <v>53</v>
      </c>
      <c r="B55" s="5">
        <f>1-MAX(-100,MIN(90,参数!$B$4-A55))/100</f>
        <v>1.33</v>
      </c>
      <c r="C55" s="6">
        <f t="shared" si="1"/>
        <v>7.5187969924812581E-3</v>
      </c>
    </row>
    <row r="56" spans="1:3" x14ac:dyDescent="0.25">
      <c r="A56" s="3">
        <v>54</v>
      </c>
      <c r="B56" s="5">
        <f>1-MAX(-100,MIN(90,参数!$B$4-A56))/100</f>
        <v>1.34</v>
      </c>
      <c r="C56" s="6">
        <f t="shared" si="1"/>
        <v>7.4626865671640896E-3</v>
      </c>
    </row>
    <row r="57" spans="1:3" x14ac:dyDescent="0.25">
      <c r="A57" s="3">
        <v>55</v>
      </c>
      <c r="B57" s="5">
        <f>1-MAX(-100,MIN(90,参数!$B$4-A57))/100</f>
        <v>1.35</v>
      </c>
      <c r="C57" s="6">
        <f t="shared" si="1"/>
        <v>7.4074074074073071E-3</v>
      </c>
    </row>
    <row r="58" spans="1:3" x14ac:dyDescent="0.25">
      <c r="A58" s="3">
        <v>56</v>
      </c>
      <c r="B58" s="5">
        <f>1-MAX(-100,MIN(90,参数!$B$4-A58))/100</f>
        <v>1.3599999999999999</v>
      </c>
      <c r="C58" s="6">
        <f t="shared" si="1"/>
        <v>7.3529411764707842E-3</v>
      </c>
    </row>
    <row r="59" spans="1:3" x14ac:dyDescent="0.25">
      <c r="A59" s="3">
        <v>57</v>
      </c>
      <c r="B59" s="5">
        <f>1-MAX(-100,MIN(90,参数!$B$4-A59))/100</f>
        <v>1.37</v>
      </c>
      <c r="C59" s="6">
        <f t="shared" si="1"/>
        <v>7.2992700729925808E-3</v>
      </c>
    </row>
    <row r="60" spans="1:3" x14ac:dyDescent="0.25">
      <c r="A60" s="3">
        <v>58</v>
      </c>
      <c r="B60" s="5">
        <f>1-MAX(-100,MIN(90,参数!$B$4-A60))/100</f>
        <v>1.38</v>
      </c>
      <c r="C60" s="6">
        <f t="shared" si="1"/>
        <v>7.2463768115944571E-3</v>
      </c>
    </row>
    <row r="61" spans="1:3" x14ac:dyDescent="0.25">
      <c r="A61" s="3">
        <v>59</v>
      </c>
      <c r="B61" s="5">
        <f>1-MAX(-100,MIN(90,参数!$B$4-A61))/100</f>
        <v>1.3900000000000001</v>
      </c>
      <c r="C61" s="6">
        <f t="shared" si="1"/>
        <v>7.194244604316502E-3</v>
      </c>
    </row>
    <row r="62" spans="1:3" x14ac:dyDescent="0.25">
      <c r="A62" s="3">
        <v>60</v>
      </c>
      <c r="B62" s="5">
        <f>1-MAX(-100,MIN(90,参数!$B$4-A62))/100</f>
        <v>1.4</v>
      </c>
      <c r="C62" s="6">
        <f t="shared" si="1"/>
        <v>7.1428571428571175E-3</v>
      </c>
    </row>
    <row r="63" spans="1:3" x14ac:dyDescent="0.25">
      <c r="A63" s="3">
        <v>61</v>
      </c>
      <c r="B63" s="5">
        <f>1-MAX(-100,MIN(90,参数!$B$4-A63))/100</f>
        <v>1.41</v>
      </c>
      <c r="C63" s="6">
        <f t="shared" si="1"/>
        <v>7.0921985815601829E-3</v>
      </c>
    </row>
    <row r="64" spans="1:3" x14ac:dyDescent="0.25">
      <c r="A64" s="3">
        <v>62</v>
      </c>
      <c r="B64" s="5">
        <f>1-MAX(-100,MIN(90,参数!$B$4-A64))/100</f>
        <v>1.42</v>
      </c>
      <c r="C64" s="6">
        <f t="shared" si="1"/>
        <v>7.0422535211267512E-3</v>
      </c>
    </row>
    <row r="65" spans="1:3" x14ac:dyDescent="0.25">
      <c r="A65" s="3">
        <v>63</v>
      </c>
      <c r="B65" s="5">
        <f>1-MAX(-100,MIN(90,参数!$B$4-A65))/100</f>
        <v>1.43</v>
      </c>
      <c r="C65" s="6">
        <f t="shared" si="1"/>
        <v>6.9930069930070893E-3</v>
      </c>
    </row>
    <row r="66" spans="1:3" x14ac:dyDescent="0.25">
      <c r="A66" s="3">
        <v>64</v>
      </c>
      <c r="B66" s="5">
        <f>1-MAX(-100,MIN(90,参数!$B$4-A66))/100</f>
        <v>1.44</v>
      </c>
      <c r="C66" s="6">
        <f t="shared" ref="C66:C97" si="2">B67/B66-1</f>
        <v>6.9444444444444198E-3</v>
      </c>
    </row>
    <row r="67" spans="1:3" x14ac:dyDescent="0.25">
      <c r="A67" s="3">
        <v>65</v>
      </c>
      <c r="B67" s="5">
        <f>1-MAX(-100,MIN(90,参数!$B$4-A67))/100</f>
        <v>1.45</v>
      </c>
      <c r="C67" s="6">
        <f t="shared" si="2"/>
        <v>6.8965517241379448E-3</v>
      </c>
    </row>
    <row r="68" spans="1:3" x14ac:dyDescent="0.25">
      <c r="A68" s="3">
        <v>66</v>
      </c>
      <c r="B68" s="5">
        <f>1-MAX(-100,MIN(90,参数!$B$4-A68))/100</f>
        <v>1.46</v>
      </c>
      <c r="C68" s="6">
        <f t="shared" si="2"/>
        <v>6.8493150684931781E-3</v>
      </c>
    </row>
    <row r="69" spans="1:3" x14ac:dyDescent="0.25">
      <c r="A69" s="3">
        <v>67</v>
      </c>
      <c r="B69" s="5">
        <f>1-MAX(-100,MIN(90,参数!$B$4-A69))/100</f>
        <v>1.47</v>
      </c>
      <c r="C69" s="6">
        <f t="shared" si="2"/>
        <v>6.8027210884353817E-3</v>
      </c>
    </row>
    <row r="70" spans="1:3" x14ac:dyDescent="0.25">
      <c r="A70" s="3">
        <v>68</v>
      </c>
      <c r="B70" s="5">
        <f>1-MAX(-100,MIN(90,参数!$B$4-A70))/100</f>
        <v>1.48</v>
      </c>
      <c r="C70" s="6">
        <f t="shared" si="2"/>
        <v>6.7567567567567988E-3</v>
      </c>
    </row>
    <row r="71" spans="1:3" x14ac:dyDescent="0.25">
      <c r="A71" s="3">
        <v>69</v>
      </c>
      <c r="B71" s="5">
        <f>1-MAX(-100,MIN(90,参数!$B$4-A71))/100</f>
        <v>1.49</v>
      </c>
      <c r="C71" s="6">
        <f t="shared" si="2"/>
        <v>6.7114093959732557E-3</v>
      </c>
    </row>
    <row r="72" spans="1:3" x14ac:dyDescent="0.25">
      <c r="A72" s="3">
        <v>70</v>
      </c>
      <c r="B72" s="5">
        <f>1-MAX(-100,MIN(90,参数!$B$4-A72))/100</f>
        <v>1.5</v>
      </c>
      <c r="C72" s="6">
        <f t="shared" si="2"/>
        <v>6.6666666666665986E-3</v>
      </c>
    </row>
    <row r="73" spans="1:3" x14ac:dyDescent="0.25">
      <c r="A73" s="3">
        <v>71</v>
      </c>
      <c r="B73" s="5">
        <f>1-MAX(-100,MIN(90,参数!$B$4-A73))/100</f>
        <v>1.51</v>
      </c>
      <c r="C73" s="6">
        <f t="shared" si="2"/>
        <v>6.6225165562914245E-3</v>
      </c>
    </row>
    <row r="74" spans="1:3" x14ac:dyDescent="0.25">
      <c r="A74" s="3">
        <v>72</v>
      </c>
      <c r="B74" s="5">
        <f>1-MAX(-100,MIN(90,参数!$B$4-A74))/100</f>
        <v>1.52</v>
      </c>
      <c r="C74" s="6">
        <f t="shared" si="2"/>
        <v>6.5789473684210176E-3</v>
      </c>
    </row>
    <row r="75" spans="1:3" x14ac:dyDescent="0.25">
      <c r="A75" s="3">
        <v>73</v>
      </c>
      <c r="B75" s="5">
        <f>1-MAX(-100,MIN(90,参数!$B$4-A75))/100</f>
        <v>1.53</v>
      </c>
      <c r="C75" s="6">
        <f t="shared" si="2"/>
        <v>6.5359477124182774E-3</v>
      </c>
    </row>
    <row r="76" spans="1:3" x14ac:dyDescent="0.25">
      <c r="A76" s="3">
        <v>74</v>
      </c>
      <c r="B76" s="5">
        <f>1-MAX(-100,MIN(90,参数!$B$4-A76))/100</f>
        <v>1.54</v>
      </c>
      <c r="C76" s="6">
        <f t="shared" si="2"/>
        <v>6.4935064935065512E-3</v>
      </c>
    </row>
    <row r="77" spans="1:3" x14ac:dyDescent="0.25">
      <c r="A77" s="3">
        <v>75</v>
      </c>
      <c r="B77" s="5">
        <f>1-MAX(-100,MIN(90,参数!$B$4-A77))/100</f>
        <v>1.55</v>
      </c>
      <c r="C77" s="6">
        <f t="shared" si="2"/>
        <v>6.4516129032257119E-3</v>
      </c>
    </row>
    <row r="78" spans="1:3" x14ac:dyDescent="0.25">
      <c r="A78" s="3">
        <v>76</v>
      </c>
      <c r="B78" s="5">
        <f>1-MAX(-100,MIN(90,参数!$B$4-A78))/100</f>
        <v>1.56</v>
      </c>
      <c r="C78" s="6">
        <f t="shared" si="2"/>
        <v>6.4102564102561654E-3</v>
      </c>
    </row>
    <row r="79" spans="1:3" x14ac:dyDescent="0.25">
      <c r="A79" s="3">
        <v>77</v>
      </c>
      <c r="B79" s="5">
        <f>1-MAX(-100,MIN(90,参数!$B$4-A79))/100</f>
        <v>1.5699999999999998</v>
      </c>
      <c r="C79" s="6">
        <f t="shared" si="2"/>
        <v>6.3694267515925773E-3</v>
      </c>
    </row>
    <row r="80" spans="1:3" x14ac:dyDescent="0.25">
      <c r="A80" s="3">
        <v>78</v>
      </c>
      <c r="B80" s="5">
        <f>1-MAX(-100,MIN(90,参数!$B$4-A80))/100</f>
        <v>1.58</v>
      </c>
      <c r="C80" s="6">
        <f t="shared" si="2"/>
        <v>6.3291139240504446E-3</v>
      </c>
    </row>
    <row r="81" spans="1:3" x14ac:dyDescent="0.25">
      <c r="A81" s="3">
        <v>79</v>
      </c>
      <c r="B81" s="5">
        <f>1-MAX(-100,MIN(90,参数!$B$4-A81))/100</f>
        <v>1.5899999999999999</v>
      </c>
      <c r="C81" s="6">
        <f t="shared" si="2"/>
        <v>6.2893081761008496E-3</v>
      </c>
    </row>
    <row r="82" spans="1:3" x14ac:dyDescent="0.25">
      <c r="A82" s="3">
        <v>80</v>
      </c>
      <c r="B82" s="5">
        <f>1-MAX(-100,MIN(90,参数!$B$4-A82))/100</f>
        <v>1.6</v>
      </c>
      <c r="C82" s="6">
        <f t="shared" si="2"/>
        <v>6.2499999999998668E-3</v>
      </c>
    </row>
    <row r="83" spans="1:3" x14ac:dyDescent="0.25">
      <c r="A83" s="3">
        <v>81</v>
      </c>
      <c r="B83" s="5">
        <f>1-MAX(-100,MIN(90,参数!$B$4-A83))/100</f>
        <v>1.6099999999999999</v>
      </c>
      <c r="C83" s="6">
        <f t="shared" si="2"/>
        <v>6.2111801242237252E-3</v>
      </c>
    </row>
    <row r="84" spans="1:3" x14ac:dyDescent="0.25">
      <c r="A84" s="3">
        <v>82</v>
      </c>
      <c r="B84" s="5">
        <f>1-MAX(-100,MIN(90,参数!$B$4-A84))/100</f>
        <v>1.62</v>
      </c>
      <c r="C84" s="6">
        <f t="shared" si="2"/>
        <v>6.1728395061726449E-3</v>
      </c>
    </row>
    <row r="85" spans="1:3" x14ac:dyDescent="0.25">
      <c r="A85" s="3">
        <v>83</v>
      </c>
      <c r="B85" s="5">
        <f>1-MAX(-100,MIN(90,参数!$B$4-A85))/100</f>
        <v>1.63</v>
      </c>
      <c r="C85" s="6">
        <f t="shared" si="2"/>
        <v>6.1349693251535609E-3</v>
      </c>
    </row>
    <row r="86" spans="1:3" x14ac:dyDescent="0.25">
      <c r="A86" s="3">
        <v>84</v>
      </c>
      <c r="B86" s="5">
        <f>1-MAX(-100,MIN(90,参数!$B$4-A86))/100</f>
        <v>1.6400000000000001</v>
      </c>
      <c r="C86" s="6">
        <f t="shared" si="2"/>
        <v>6.0975609756095395E-3</v>
      </c>
    </row>
    <row r="87" spans="1:3" x14ac:dyDescent="0.25">
      <c r="A87" s="3">
        <v>85</v>
      </c>
      <c r="B87" s="5">
        <f>1-MAX(-100,MIN(90,参数!$B$4-A87))/100</f>
        <v>1.65</v>
      </c>
      <c r="C87" s="6">
        <f t="shared" si="2"/>
        <v>6.0606060606060996E-3</v>
      </c>
    </row>
    <row r="88" spans="1:3" x14ac:dyDescent="0.25">
      <c r="A88" s="3">
        <v>86</v>
      </c>
      <c r="B88" s="5">
        <f>1-MAX(-100,MIN(90,参数!$B$4-A88))/100</f>
        <v>1.6600000000000001</v>
      </c>
      <c r="C88" s="6">
        <f t="shared" si="2"/>
        <v>6.0240963855420215E-3</v>
      </c>
    </row>
    <row r="89" spans="1:3" x14ac:dyDescent="0.25">
      <c r="A89" s="3">
        <v>87</v>
      </c>
      <c r="B89" s="5">
        <f>1-MAX(-100,MIN(90,参数!$B$4-A89))/100</f>
        <v>1.67</v>
      </c>
      <c r="C89" s="6">
        <f t="shared" si="2"/>
        <v>5.9880239520959666E-3</v>
      </c>
    </row>
    <row r="90" spans="1:3" x14ac:dyDescent="0.25">
      <c r="A90" s="3">
        <v>88</v>
      </c>
      <c r="B90" s="5">
        <f>1-MAX(-100,MIN(90,参数!$B$4-A90))/100</f>
        <v>1.6800000000000002</v>
      </c>
      <c r="C90" s="6">
        <f t="shared" si="2"/>
        <v>5.9523809523809312E-3</v>
      </c>
    </row>
    <row r="91" spans="1:3" x14ac:dyDescent="0.25">
      <c r="A91" s="3">
        <v>89</v>
      </c>
      <c r="B91" s="5">
        <f>1-MAX(-100,MIN(90,参数!$B$4-A91))/100</f>
        <v>1.69</v>
      </c>
      <c r="C91" s="6">
        <f t="shared" si="2"/>
        <v>5.9171597633136397E-3</v>
      </c>
    </row>
    <row r="92" spans="1:3" x14ac:dyDescent="0.25">
      <c r="A92" s="3">
        <v>90</v>
      </c>
      <c r="B92" s="5">
        <f>1-MAX(-100,MIN(90,参数!$B$4-A92))/100</f>
        <v>1.7</v>
      </c>
      <c r="C92" s="6">
        <f t="shared" si="2"/>
        <v>5.8823529411764497E-3</v>
      </c>
    </row>
    <row r="93" spans="1:3" x14ac:dyDescent="0.25">
      <c r="A93" s="3">
        <v>91</v>
      </c>
      <c r="B93" s="5">
        <f>1-MAX(-100,MIN(90,参数!$B$4-A93))/100</f>
        <v>1.71</v>
      </c>
      <c r="C93" s="6">
        <f t="shared" si="2"/>
        <v>5.8479532163742132E-3</v>
      </c>
    </row>
    <row r="94" spans="1:3" x14ac:dyDescent="0.25">
      <c r="A94" s="3">
        <v>92</v>
      </c>
      <c r="B94" s="5">
        <f>1-MAX(-100,MIN(90,参数!$B$4-A94))/100</f>
        <v>1.72</v>
      </c>
      <c r="C94" s="6">
        <f t="shared" si="2"/>
        <v>5.8139534883721034E-3</v>
      </c>
    </row>
    <row r="95" spans="1:3" x14ac:dyDescent="0.25">
      <c r="A95" s="3">
        <v>93</v>
      </c>
      <c r="B95" s="5">
        <f>1-MAX(-100,MIN(90,参数!$B$4-A95))/100</f>
        <v>1.73</v>
      </c>
      <c r="C95" s="6">
        <f t="shared" si="2"/>
        <v>5.7803468208093012E-3</v>
      </c>
    </row>
    <row r="96" spans="1:3" x14ac:dyDescent="0.25">
      <c r="A96" s="3">
        <v>94</v>
      </c>
      <c r="B96" s="5">
        <f>1-MAX(-100,MIN(90,参数!$B$4-A96))/100</f>
        <v>1.74</v>
      </c>
      <c r="C96" s="6">
        <f t="shared" si="2"/>
        <v>5.7471264367816577E-3</v>
      </c>
    </row>
    <row r="97" spans="1:3" x14ac:dyDescent="0.25">
      <c r="A97" s="3">
        <v>95</v>
      </c>
      <c r="B97" s="5">
        <f>1-MAX(-100,MIN(90,参数!$B$4-A97))/100</f>
        <v>1.75</v>
      </c>
      <c r="C97" s="6">
        <f t="shared" si="2"/>
        <v>5.7142857142857828E-3</v>
      </c>
    </row>
    <row r="98" spans="1:3" x14ac:dyDescent="0.25">
      <c r="A98" s="3">
        <v>96</v>
      </c>
      <c r="B98" s="5">
        <f>1-MAX(-100,MIN(90,参数!$B$4-A98))/100</f>
        <v>1.76</v>
      </c>
      <c r="C98" s="6">
        <f t="shared" ref="C98:C129" si="3">B99/B98-1</f>
        <v>5.6818181818181213E-3</v>
      </c>
    </row>
    <row r="99" spans="1:3" x14ac:dyDescent="0.25">
      <c r="A99" s="3">
        <v>97</v>
      </c>
      <c r="B99" s="5">
        <f>1-MAX(-100,MIN(90,参数!$B$4-A99))/100</f>
        <v>1.77</v>
      </c>
      <c r="C99" s="6">
        <f t="shared" si="3"/>
        <v>5.6497175141243527E-3</v>
      </c>
    </row>
    <row r="100" spans="1:3" x14ac:dyDescent="0.25">
      <c r="A100" s="3">
        <v>98</v>
      </c>
      <c r="B100" s="5">
        <f>1-MAX(-100,MIN(90,参数!$B$4-A100))/100</f>
        <v>1.78</v>
      </c>
      <c r="C100" s="6">
        <f t="shared" si="3"/>
        <v>5.6179775280897903E-3</v>
      </c>
    </row>
    <row r="101" spans="1:3" x14ac:dyDescent="0.25">
      <c r="A101" s="3">
        <v>99</v>
      </c>
      <c r="B101" s="5">
        <f>1-MAX(-100,MIN(90,参数!$B$4-A101))/100</f>
        <v>1.79</v>
      </c>
      <c r="C101" s="6">
        <f t="shared" si="3"/>
        <v>5.5865921787709993E-3</v>
      </c>
    </row>
    <row r="102" spans="1:3" x14ac:dyDescent="0.25">
      <c r="A102" s="3">
        <v>100</v>
      </c>
      <c r="B102" s="5">
        <f>1-MAX(-100,MIN(90,参数!$B$4-A102))/100</f>
        <v>1.8</v>
      </c>
      <c r="C102" s="6">
        <f t="shared" si="3"/>
        <v>5.5555555555555358E-3</v>
      </c>
    </row>
    <row r="103" spans="1:3" x14ac:dyDescent="0.25">
      <c r="A103" s="3">
        <v>101</v>
      </c>
      <c r="B103" s="5">
        <f>1-MAX(-100,MIN(90,参数!$B$4-A103))/100</f>
        <v>1.81</v>
      </c>
      <c r="C103" s="6">
        <f t="shared" si="3"/>
        <v>5.5248618784529135E-3</v>
      </c>
    </row>
    <row r="104" spans="1:3" x14ac:dyDescent="0.25">
      <c r="A104" s="3">
        <v>102</v>
      </c>
      <c r="B104" s="5">
        <f>1-MAX(-100,MIN(90,参数!$B$4-A104))/100</f>
        <v>1.8199999999999998</v>
      </c>
      <c r="C104" s="6">
        <f t="shared" si="3"/>
        <v>5.494505494505697E-3</v>
      </c>
    </row>
    <row r="105" spans="1:3" x14ac:dyDescent="0.25">
      <c r="A105" s="3">
        <v>103</v>
      </c>
      <c r="B105" s="5">
        <f>1-MAX(-100,MIN(90,参数!$B$4-A105))/100</f>
        <v>1.83</v>
      </c>
      <c r="C105" s="6">
        <f t="shared" si="3"/>
        <v>5.4644808743167239E-3</v>
      </c>
    </row>
    <row r="106" spans="1:3" x14ac:dyDescent="0.25">
      <c r="A106" s="3">
        <v>104</v>
      </c>
      <c r="B106" s="5">
        <f>1-MAX(-100,MIN(90,参数!$B$4-A106))/100</f>
        <v>1.8399999999999999</v>
      </c>
      <c r="C106" s="6">
        <f t="shared" si="3"/>
        <v>5.4347826086957873E-3</v>
      </c>
    </row>
    <row r="107" spans="1:3" x14ac:dyDescent="0.25">
      <c r="A107" s="3">
        <v>105</v>
      </c>
      <c r="B107" s="5">
        <f>1-MAX(-100,MIN(90,参数!$B$4-A107))/100</f>
        <v>1.85</v>
      </c>
      <c r="C107" s="6">
        <f t="shared" si="3"/>
        <v>5.4054054054053502E-3</v>
      </c>
    </row>
    <row r="108" spans="1:3" x14ac:dyDescent="0.25">
      <c r="A108" s="3">
        <v>106</v>
      </c>
      <c r="B108" s="5">
        <f>1-MAX(-100,MIN(90,参数!$B$4-A108))/100</f>
        <v>1.8599999999999999</v>
      </c>
      <c r="C108" s="6">
        <f t="shared" si="3"/>
        <v>5.3763440860217226E-3</v>
      </c>
    </row>
    <row r="109" spans="1:3" x14ac:dyDescent="0.25">
      <c r="A109" s="3">
        <v>107</v>
      </c>
      <c r="B109" s="5">
        <f>1-MAX(-100,MIN(90,参数!$B$4-A109))/100</f>
        <v>1.87</v>
      </c>
      <c r="C109" s="6">
        <f t="shared" si="3"/>
        <v>5.3475935828874999E-3</v>
      </c>
    </row>
    <row r="110" spans="1:3" x14ac:dyDescent="0.25">
      <c r="A110" s="3">
        <v>108</v>
      </c>
      <c r="B110" s="5">
        <f>1-MAX(-100,MIN(90,参数!$B$4-A110))/100</f>
        <v>1.88</v>
      </c>
      <c r="C110" s="6">
        <f t="shared" si="3"/>
        <v>5.3191489361703592E-3</v>
      </c>
    </row>
    <row r="111" spans="1:3" x14ac:dyDescent="0.25">
      <c r="A111" s="3">
        <v>109</v>
      </c>
      <c r="B111" s="5">
        <f>1-MAX(-100,MIN(90,参数!$B$4-A111))/100</f>
        <v>1.8900000000000001</v>
      </c>
      <c r="C111" s="6">
        <f t="shared" si="3"/>
        <v>5.2910052910051242E-3</v>
      </c>
    </row>
    <row r="112" spans="1:3" x14ac:dyDescent="0.25">
      <c r="A112" s="3">
        <v>110</v>
      </c>
      <c r="B112" s="5">
        <f>1-MAX(-100,MIN(90,参数!$B$4-A112))/100</f>
        <v>1.9</v>
      </c>
      <c r="C112" s="6">
        <f t="shared" si="3"/>
        <v>5.2631578947368585E-3</v>
      </c>
    </row>
    <row r="113" spans="1:3" x14ac:dyDescent="0.25">
      <c r="A113" s="3">
        <v>111</v>
      </c>
      <c r="B113" s="5">
        <f>1-MAX(-100,MIN(90,参数!$B$4-A113))/100</f>
        <v>1.9100000000000001</v>
      </c>
      <c r="C113" s="6">
        <f t="shared" si="3"/>
        <v>5.2356020942407877E-3</v>
      </c>
    </row>
    <row r="114" spans="1:3" x14ac:dyDescent="0.25">
      <c r="A114" s="3">
        <v>112</v>
      </c>
      <c r="B114" s="5">
        <f>1-MAX(-100,MIN(90,参数!$B$4-A114))/100</f>
        <v>1.92</v>
      </c>
      <c r="C114" s="6">
        <f t="shared" si="3"/>
        <v>5.2083333333334814E-3</v>
      </c>
    </row>
    <row r="115" spans="1:3" x14ac:dyDescent="0.25">
      <c r="A115" s="3">
        <v>113</v>
      </c>
      <c r="B115" s="5">
        <f>1-MAX(-100,MIN(90,参数!$B$4-A115))/100</f>
        <v>1.9300000000000002</v>
      </c>
      <c r="C115" s="6">
        <f t="shared" si="3"/>
        <v>5.1813471502588637E-3</v>
      </c>
    </row>
    <row r="116" spans="1:3" x14ac:dyDescent="0.25">
      <c r="A116" s="3">
        <v>114</v>
      </c>
      <c r="B116" s="5">
        <f>1-MAX(-100,MIN(90,参数!$B$4-A116))/100</f>
        <v>1.94</v>
      </c>
      <c r="C116" s="6">
        <f t="shared" si="3"/>
        <v>5.1546391752577136E-3</v>
      </c>
    </row>
    <row r="117" spans="1:3" x14ac:dyDescent="0.25">
      <c r="A117" s="3">
        <v>115</v>
      </c>
      <c r="B117" s="5">
        <f>1-MAX(-100,MIN(90,参数!$B$4-A117))/100</f>
        <v>1.95</v>
      </c>
      <c r="C117" s="6">
        <f t="shared" si="3"/>
        <v>5.12820512820511E-3</v>
      </c>
    </row>
    <row r="118" spans="1:3" x14ac:dyDescent="0.25">
      <c r="A118" s="3">
        <v>116</v>
      </c>
      <c r="B118" s="5">
        <f>1-MAX(-100,MIN(90,参数!$B$4-A118))/100</f>
        <v>1.96</v>
      </c>
      <c r="C118" s="6">
        <f t="shared" si="3"/>
        <v>5.1020408163264808E-3</v>
      </c>
    </row>
    <row r="119" spans="1:3" x14ac:dyDescent="0.25">
      <c r="A119" s="3">
        <v>117</v>
      </c>
      <c r="B119" s="5">
        <f>1-MAX(-100,MIN(90,参数!$B$4-A119))/100</f>
        <v>1.97</v>
      </c>
      <c r="C119" s="6">
        <f t="shared" si="3"/>
        <v>5.0761421319795996E-3</v>
      </c>
    </row>
    <row r="120" spans="1:3" x14ac:dyDescent="0.25">
      <c r="A120" s="3">
        <v>118</v>
      </c>
      <c r="B120" s="5">
        <f>1-MAX(-100,MIN(90,参数!$B$4-A120))/100</f>
        <v>1.98</v>
      </c>
      <c r="C120" s="6">
        <f t="shared" si="3"/>
        <v>5.050505050504972E-3</v>
      </c>
    </row>
    <row r="121" spans="1:3" x14ac:dyDescent="0.25">
      <c r="A121" s="3">
        <v>119</v>
      </c>
      <c r="B121" s="5">
        <f>1-MAX(-100,MIN(90,参数!$B$4-A121))/100</f>
        <v>1.99</v>
      </c>
      <c r="C121" s="6">
        <f t="shared" si="3"/>
        <v>5.0251256281406143E-3</v>
      </c>
    </row>
    <row r="122" spans="1:3" x14ac:dyDescent="0.25">
      <c r="A122" s="3">
        <v>120</v>
      </c>
      <c r="B122" s="5">
        <f>1-MAX(-100,MIN(90,参数!$B$4-A122))/100</f>
        <v>2</v>
      </c>
      <c r="C122" s="6"/>
    </row>
  </sheetData>
  <mergeCells count="1">
    <mergeCell ref="E2:H5"/>
  </mergeCells>
  <phoneticPr fontId="2" type="noConversion"/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92"/>
  <sheetViews>
    <sheetView zoomScale="90" workbookViewId="0">
      <pane ySplit="1" topLeftCell="A2" activePane="bottomLeft" state="frozen"/>
      <selection pane="bottomLeft"/>
    </sheetView>
  </sheetViews>
  <sheetFormatPr defaultRowHeight="14" x14ac:dyDescent="0.25"/>
  <cols>
    <col min="1" max="2" width="14" customWidth="1"/>
    <col min="3" max="3" width="16" customWidth="1"/>
    <col min="5" max="8" width="18" customWidth="1"/>
  </cols>
  <sheetData>
    <row r="1" spans="1:8" ht="28" customHeight="1" x14ac:dyDescent="0.25">
      <c r="A1" s="1" t="s">
        <v>65</v>
      </c>
      <c r="B1" s="1" t="s">
        <v>50</v>
      </c>
      <c r="C1" s="1" t="s">
        <v>51</v>
      </c>
      <c r="E1" s="4" t="s">
        <v>31</v>
      </c>
    </row>
    <row r="2" spans="1:8" x14ac:dyDescent="0.25">
      <c r="A2" s="3">
        <v>0</v>
      </c>
      <c r="B2" s="5">
        <f>(1-A2/100)*IF(参数!$B$6="是",1,0.9)</f>
        <v>0.9</v>
      </c>
      <c r="C2" s="6">
        <f t="shared" ref="C2:C33" si="0">B3/B2-1</f>
        <v>-1.0000000000000009E-2</v>
      </c>
      <c r="E2" s="7" t="s">
        <v>66</v>
      </c>
      <c r="F2" s="8"/>
      <c r="G2" s="8"/>
      <c r="H2" s="8"/>
    </row>
    <row r="3" spans="1:8" x14ac:dyDescent="0.25">
      <c r="A3" s="3">
        <v>1</v>
      </c>
      <c r="B3" s="5">
        <f>(1-A3/100)*IF(参数!$B$6="是",1,0.9)</f>
        <v>0.89100000000000001</v>
      </c>
      <c r="C3" s="6">
        <f t="shared" si="0"/>
        <v>-1.0101010101010055E-2</v>
      </c>
      <c r="E3" s="8"/>
      <c r="F3" s="8"/>
      <c r="G3" s="8"/>
      <c r="H3" s="8"/>
    </row>
    <row r="4" spans="1:8" x14ac:dyDescent="0.25">
      <c r="A4" s="3">
        <v>2</v>
      </c>
      <c r="B4" s="5">
        <f>(1-A4/100)*IF(参数!$B$6="是",1,0.9)</f>
        <v>0.88200000000000001</v>
      </c>
      <c r="C4" s="6">
        <f t="shared" si="0"/>
        <v>-1.0204081632653073E-2</v>
      </c>
      <c r="E4" s="8"/>
      <c r="F4" s="8"/>
      <c r="G4" s="8"/>
      <c r="H4" s="8"/>
    </row>
    <row r="5" spans="1:8" x14ac:dyDescent="0.25">
      <c r="A5" s="3">
        <v>3</v>
      </c>
      <c r="B5" s="5">
        <f>(1-A5/100)*IF(参数!$B$6="是",1,0.9)</f>
        <v>0.873</v>
      </c>
      <c r="C5" s="6">
        <f t="shared" si="0"/>
        <v>-1.0309278350515427E-2</v>
      </c>
      <c r="E5" s="8"/>
      <c r="F5" s="8"/>
      <c r="G5" s="8"/>
      <c r="H5" s="8"/>
    </row>
    <row r="6" spans="1:8" x14ac:dyDescent="0.25">
      <c r="A6" s="3">
        <v>4</v>
      </c>
      <c r="B6" s="5">
        <f>(1-A6/100)*IF(参数!$B$6="是",1,0.9)</f>
        <v>0.86399999999999999</v>
      </c>
      <c r="C6" s="6">
        <f t="shared" si="0"/>
        <v>-1.041666666666663E-2</v>
      </c>
    </row>
    <row r="7" spans="1:8" x14ac:dyDescent="0.25">
      <c r="A7" s="3">
        <v>5</v>
      </c>
      <c r="B7" s="5">
        <f>(1-A7/100)*IF(参数!$B$6="是",1,0.9)</f>
        <v>0.85499999999999998</v>
      </c>
      <c r="C7" s="6">
        <f t="shared" si="0"/>
        <v>-1.0526315789473717E-2</v>
      </c>
    </row>
    <row r="8" spans="1:8" x14ac:dyDescent="0.25">
      <c r="A8" s="3">
        <v>6</v>
      </c>
      <c r="B8" s="5">
        <f>(1-A8/100)*IF(参数!$B$6="是",1,0.9)</f>
        <v>0.84599999999999997</v>
      </c>
      <c r="C8" s="6">
        <f t="shared" si="0"/>
        <v>-1.0638297872340385E-2</v>
      </c>
    </row>
    <row r="9" spans="1:8" x14ac:dyDescent="0.25">
      <c r="A9" s="3">
        <v>7</v>
      </c>
      <c r="B9" s="5">
        <f>(1-A9/100)*IF(参数!$B$6="是",1,0.9)</f>
        <v>0.83699999999999997</v>
      </c>
      <c r="C9" s="6">
        <f t="shared" si="0"/>
        <v>-1.075268817204289E-2</v>
      </c>
    </row>
    <row r="10" spans="1:8" x14ac:dyDescent="0.25">
      <c r="A10" s="3">
        <v>8</v>
      </c>
      <c r="B10" s="5">
        <f>(1-A10/100)*IF(参数!$B$6="是",1,0.9)</f>
        <v>0.82800000000000007</v>
      </c>
      <c r="C10" s="6">
        <f t="shared" si="0"/>
        <v>-1.0869565217391353E-2</v>
      </c>
    </row>
    <row r="11" spans="1:8" x14ac:dyDescent="0.25">
      <c r="A11" s="3">
        <v>9</v>
      </c>
      <c r="B11" s="5">
        <f>(1-A11/100)*IF(参数!$B$6="是",1,0.9)</f>
        <v>0.81900000000000006</v>
      </c>
      <c r="C11" s="6">
        <f t="shared" si="0"/>
        <v>-1.098901098901095E-2</v>
      </c>
    </row>
    <row r="12" spans="1:8" x14ac:dyDescent="0.25">
      <c r="A12" s="3">
        <v>10</v>
      </c>
      <c r="B12" s="5">
        <f>(1-A12/100)*IF(参数!$B$6="是",1,0.9)</f>
        <v>0.81</v>
      </c>
      <c r="C12" s="6">
        <f t="shared" si="0"/>
        <v>-1.1111111111111072E-2</v>
      </c>
    </row>
    <row r="13" spans="1:8" x14ac:dyDescent="0.25">
      <c r="A13" s="3">
        <v>11</v>
      </c>
      <c r="B13" s="5">
        <f>(1-A13/100)*IF(参数!$B$6="是",1,0.9)</f>
        <v>0.80100000000000005</v>
      </c>
      <c r="C13" s="6">
        <f t="shared" si="0"/>
        <v>-1.1235955056179803E-2</v>
      </c>
    </row>
    <row r="14" spans="1:8" x14ac:dyDescent="0.25">
      <c r="A14" s="3">
        <v>12</v>
      </c>
      <c r="B14" s="5">
        <f>(1-A14/100)*IF(参数!$B$6="是",1,0.9)</f>
        <v>0.79200000000000004</v>
      </c>
      <c r="C14" s="6">
        <f t="shared" si="0"/>
        <v>-1.1363636363636354E-2</v>
      </c>
    </row>
    <row r="15" spans="1:8" x14ac:dyDescent="0.25">
      <c r="A15" s="3">
        <v>13</v>
      </c>
      <c r="B15" s="5">
        <f>(1-A15/100)*IF(参数!$B$6="是",1,0.9)</f>
        <v>0.78300000000000003</v>
      </c>
      <c r="C15" s="6">
        <f t="shared" si="0"/>
        <v>-1.1494252873563204E-2</v>
      </c>
    </row>
    <row r="16" spans="1:8" x14ac:dyDescent="0.25">
      <c r="A16" s="3">
        <v>14</v>
      </c>
      <c r="B16" s="5">
        <f>(1-A16/100)*IF(参数!$B$6="是",1,0.9)</f>
        <v>0.77400000000000002</v>
      </c>
      <c r="C16" s="6">
        <f t="shared" si="0"/>
        <v>-1.1627906976744207E-2</v>
      </c>
    </row>
    <row r="17" spans="1:3" x14ac:dyDescent="0.25">
      <c r="A17" s="3">
        <v>15</v>
      </c>
      <c r="B17" s="5">
        <f>(1-A17/100)*IF(参数!$B$6="是",1,0.9)</f>
        <v>0.76500000000000001</v>
      </c>
      <c r="C17" s="6">
        <f t="shared" si="0"/>
        <v>-1.1764705882352899E-2</v>
      </c>
    </row>
    <row r="18" spans="1:3" x14ac:dyDescent="0.25">
      <c r="A18" s="3">
        <v>16</v>
      </c>
      <c r="B18" s="5">
        <f>(1-A18/100)*IF(参数!$B$6="是",1,0.9)</f>
        <v>0.75600000000000001</v>
      </c>
      <c r="C18" s="6">
        <f t="shared" si="0"/>
        <v>-1.1904761904761862E-2</v>
      </c>
    </row>
    <row r="19" spans="1:3" x14ac:dyDescent="0.25">
      <c r="A19" s="3">
        <v>17</v>
      </c>
      <c r="B19" s="5">
        <f>(1-A19/100)*IF(参数!$B$6="是",1,0.9)</f>
        <v>0.747</v>
      </c>
      <c r="C19" s="6">
        <f t="shared" si="0"/>
        <v>-1.2048192771084154E-2</v>
      </c>
    </row>
    <row r="20" spans="1:3" x14ac:dyDescent="0.25">
      <c r="A20" s="3">
        <v>18</v>
      </c>
      <c r="B20" s="5">
        <f>(1-A20/100)*IF(参数!$B$6="是",1,0.9)</f>
        <v>0.7380000000000001</v>
      </c>
      <c r="C20" s="6">
        <f t="shared" si="0"/>
        <v>-1.2195121951219523E-2</v>
      </c>
    </row>
    <row r="21" spans="1:3" x14ac:dyDescent="0.25">
      <c r="A21" s="3">
        <v>19</v>
      </c>
      <c r="B21" s="5">
        <f>(1-A21/100)*IF(参数!$B$6="是",1,0.9)</f>
        <v>0.72900000000000009</v>
      </c>
      <c r="C21" s="6">
        <f t="shared" si="0"/>
        <v>-1.2345679012345734E-2</v>
      </c>
    </row>
    <row r="22" spans="1:3" x14ac:dyDescent="0.25">
      <c r="A22" s="3">
        <v>20</v>
      </c>
      <c r="B22" s="5">
        <f>(1-A22/100)*IF(参数!$B$6="是",1,0.9)</f>
        <v>0.72000000000000008</v>
      </c>
      <c r="C22" s="6">
        <f t="shared" si="0"/>
        <v>-1.2499999999999956E-2</v>
      </c>
    </row>
    <row r="23" spans="1:3" x14ac:dyDescent="0.25">
      <c r="A23" s="3">
        <v>21</v>
      </c>
      <c r="B23" s="5">
        <f>(1-A23/100)*IF(参数!$B$6="是",1,0.9)</f>
        <v>0.71100000000000008</v>
      </c>
      <c r="C23" s="6">
        <f t="shared" si="0"/>
        <v>-1.2658227848101222E-2</v>
      </c>
    </row>
    <row r="24" spans="1:3" x14ac:dyDescent="0.25">
      <c r="A24" s="3">
        <v>22</v>
      </c>
      <c r="B24" s="5">
        <f>(1-A24/100)*IF(参数!$B$6="是",1,0.9)</f>
        <v>0.70200000000000007</v>
      </c>
      <c r="C24" s="6">
        <f t="shared" si="0"/>
        <v>-1.2820512820512886E-2</v>
      </c>
    </row>
    <row r="25" spans="1:3" x14ac:dyDescent="0.25">
      <c r="A25" s="3">
        <v>23</v>
      </c>
      <c r="B25" s="5">
        <f>(1-A25/100)*IF(参数!$B$6="是",1,0.9)</f>
        <v>0.69300000000000006</v>
      </c>
      <c r="C25" s="6">
        <f t="shared" si="0"/>
        <v>-1.2987012987012991E-2</v>
      </c>
    </row>
    <row r="26" spans="1:3" x14ac:dyDescent="0.25">
      <c r="A26" s="3">
        <v>24</v>
      </c>
      <c r="B26" s="5">
        <f>(1-A26/100)*IF(参数!$B$6="是",1,0.9)</f>
        <v>0.68400000000000005</v>
      </c>
      <c r="C26" s="6">
        <f t="shared" si="0"/>
        <v>-1.3157894736842146E-2</v>
      </c>
    </row>
    <row r="27" spans="1:3" x14ac:dyDescent="0.25">
      <c r="A27" s="3">
        <v>25</v>
      </c>
      <c r="B27" s="5">
        <f>(1-A27/100)*IF(参数!$B$6="是",1,0.9)</f>
        <v>0.67500000000000004</v>
      </c>
      <c r="C27" s="6">
        <f t="shared" si="0"/>
        <v>-1.3333333333333308E-2</v>
      </c>
    </row>
    <row r="28" spans="1:3" x14ac:dyDescent="0.25">
      <c r="A28" s="3">
        <v>26</v>
      </c>
      <c r="B28" s="5">
        <f>(1-A28/100)*IF(参数!$B$6="是",1,0.9)</f>
        <v>0.66600000000000004</v>
      </c>
      <c r="C28" s="6">
        <f t="shared" si="0"/>
        <v>-1.3513513513513487E-2</v>
      </c>
    </row>
    <row r="29" spans="1:3" x14ac:dyDescent="0.25">
      <c r="A29" s="3">
        <v>27</v>
      </c>
      <c r="B29" s="5">
        <f>(1-A29/100)*IF(参数!$B$6="是",1,0.9)</f>
        <v>0.65700000000000003</v>
      </c>
      <c r="C29" s="6">
        <f t="shared" si="0"/>
        <v>-1.3698630136986356E-2</v>
      </c>
    </row>
    <row r="30" spans="1:3" x14ac:dyDescent="0.25">
      <c r="A30" s="3">
        <v>28</v>
      </c>
      <c r="B30" s="5">
        <f>(1-A30/100)*IF(参数!$B$6="是",1,0.9)</f>
        <v>0.64800000000000002</v>
      </c>
      <c r="C30" s="6">
        <f t="shared" si="0"/>
        <v>-1.3888888888888951E-2</v>
      </c>
    </row>
    <row r="31" spans="1:3" x14ac:dyDescent="0.25">
      <c r="A31" s="3">
        <v>29</v>
      </c>
      <c r="B31" s="5">
        <f>(1-A31/100)*IF(参数!$B$6="是",1,0.9)</f>
        <v>0.63900000000000001</v>
      </c>
      <c r="C31" s="6">
        <f t="shared" si="0"/>
        <v>-1.4084507042253502E-2</v>
      </c>
    </row>
    <row r="32" spans="1:3" x14ac:dyDescent="0.25">
      <c r="A32" s="3">
        <v>30</v>
      </c>
      <c r="B32" s="5">
        <f>(1-A32/100)*IF(参数!$B$6="是",1,0.9)</f>
        <v>0.63</v>
      </c>
      <c r="C32" s="6">
        <f t="shared" si="0"/>
        <v>-1.4285714285714346E-2</v>
      </c>
    </row>
    <row r="33" spans="1:3" x14ac:dyDescent="0.25">
      <c r="A33" s="3">
        <v>31</v>
      </c>
      <c r="B33" s="5">
        <f>(1-A33/100)*IF(参数!$B$6="是",1,0.9)</f>
        <v>0.621</v>
      </c>
      <c r="C33" s="6">
        <f t="shared" si="0"/>
        <v>-1.449275362318847E-2</v>
      </c>
    </row>
    <row r="34" spans="1:3" x14ac:dyDescent="0.25">
      <c r="A34" s="3">
        <v>32</v>
      </c>
      <c r="B34" s="5">
        <f>(1-A34/100)*IF(参数!$B$6="是",1,0.9)</f>
        <v>0.61199999999999999</v>
      </c>
      <c r="C34" s="6">
        <f t="shared" ref="C34:C65" si="1">B35/B34-1</f>
        <v>-1.4705882352941235E-2</v>
      </c>
    </row>
    <row r="35" spans="1:3" x14ac:dyDescent="0.25">
      <c r="A35" s="3">
        <v>33</v>
      </c>
      <c r="B35" s="5">
        <f>(1-A35/100)*IF(参数!$B$6="是",1,0.9)</f>
        <v>0.60299999999999998</v>
      </c>
      <c r="C35" s="6">
        <f t="shared" si="1"/>
        <v>-1.4925373134328401E-2</v>
      </c>
    </row>
    <row r="36" spans="1:3" x14ac:dyDescent="0.25">
      <c r="A36" s="3">
        <v>34</v>
      </c>
      <c r="B36" s="5">
        <f>(1-A36/100)*IF(参数!$B$6="是",1,0.9)</f>
        <v>0.59399999999999997</v>
      </c>
      <c r="C36" s="6">
        <f t="shared" si="1"/>
        <v>-1.5151515151515027E-2</v>
      </c>
    </row>
    <row r="37" spans="1:3" x14ac:dyDescent="0.25">
      <c r="A37" s="3">
        <v>35</v>
      </c>
      <c r="B37" s="5">
        <f>(1-A37/100)*IF(参数!$B$6="是",1,0.9)</f>
        <v>0.58500000000000008</v>
      </c>
      <c r="C37" s="6">
        <f t="shared" si="1"/>
        <v>-1.5384615384615441E-2</v>
      </c>
    </row>
    <row r="38" spans="1:3" x14ac:dyDescent="0.25">
      <c r="A38" s="3">
        <v>36</v>
      </c>
      <c r="B38" s="5">
        <f>(1-A38/100)*IF(参数!$B$6="是",1,0.9)</f>
        <v>0.57600000000000007</v>
      </c>
      <c r="C38" s="6">
        <f t="shared" si="1"/>
        <v>-1.5625E-2</v>
      </c>
    </row>
    <row r="39" spans="1:3" x14ac:dyDescent="0.25">
      <c r="A39" s="3">
        <v>37</v>
      </c>
      <c r="B39" s="5">
        <f>(1-A39/100)*IF(参数!$B$6="是",1,0.9)</f>
        <v>0.56700000000000006</v>
      </c>
      <c r="C39" s="6">
        <f t="shared" si="1"/>
        <v>-1.5873015873015928E-2</v>
      </c>
    </row>
    <row r="40" spans="1:3" x14ac:dyDescent="0.25">
      <c r="A40" s="3">
        <v>38</v>
      </c>
      <c r="B40" s="5">
        <f>(1-A40/100)*IF(参数!$B$6="是",1,0.9)</f>
        <v>0.55800000000000005</v>
      </c>
      <c r="C40" s="6">
        <f t="shared" si="1"/>
        <v>-1.6129032258064502E-2</v>
      </c>
    </row>
    <row r="41" spans="1:3" x14ac:dyDescent="0.25">
      <c r="A41" s="3">
        <v>39</v>
      </c>
      <c r="B41" s="5">
        <f>(1-A41/100)*IF(参数!$B$6="是",1,0.9)</f>
        <v>0.54900000000000004</v>
      </c>
      <c r="C41" s="6">
        <f t="shared" si="1"/>
        <v>-1.6393442622950838E-2</v>
      </c>
    </row>
    <row r="42" spans="1:3" x14ac:dyDescent="0.25">
      <c r="A42" s="3">
        <v>40</v>
      </c>
      <c r="B42" s="5">
        <f>(1-A42/100)*IF(参数!$B$6="是",1,0.9)</f>
        <v>0.54</v>
      </c>
      <c r="C42" s="6">
        <f t="shared" si="1"/>
        <v>-1.6666666666666496E-2</v>
      </c>
    </row>
    <row r="43" spans="1:3" x14ac:dyDescent="0.25">
      <c r="A43" s="3">
        <v>41</v>
      </c>
      <c r="B43" s="5">
        <f>(1-A43/100)*IF(参数!$B$6="是",1,0.9)</f>
        <v>0.53100000000000014</v>
      </c>
      <c r="C43" s="6">
        <f t="shared" si="1"/>
        <v>-1.6949152542372947E-2</v>
      </c>
    </row>
    <row r="44" spans="1:3" x14ac:dyDescent="0.25">
      <c r="A44" s="3">
        <v>42</v>
      </c>
      <c r="B44" s="5">
        <f>(1-A44/100)*IF(参数!$B$6="是",1,0.9)</f>
        <v>0.52200000000000013</v>
      </c>
      <c r="C44" s="6">
        <f t="shared" si="1"/>
        <v>-1.7241379310344862E-2</v>
      </c>
    </row>
    <row r="45" spans="1:3" x14ac:dyDescent="0.25">
      <c r="A45" s="3">
        <v>43</v>
      </c>
      <c r="B45" s="5">
        <f>(1-A45/100)*IF(参数!$B$6="是",1,0.9)</f>
        <v>0.51300000000000012</v>
      </c>
      <c r="C45" s="6">
        <f t="shared" si="1"/>
        <v>-1.7543859649122862E-2</v>
      </c>
    </row>
    <row r="46" spans="1:3" x14ac:dyDescent="0.25">
      <c r="A46" s="3">
        <v>44</v>
      </c>
      <c r="B46" s="5">
        <f>(1-A46/100)*IF(参数!$B$6="是",1,0.9)</f>
        <v>0.50400000000000011</v>
      </c>
      <c r="C46" s="6">
        <f t="shared" si="1"/>
        <v>-1.7857142857143016E-2</v>
      </c>
    </row>
    <row r="47" spans="1:3" x14ac:dyDescent="0.25">
      <c r="A47" s="3">
        <v>45</v>
      </c>
      <c r="B47" s="5">
        <f>(1-A47/100)*IF(参数!$B$6="是",1,0.9)</f>
        <v>0.49500000000000005</v>
      </c>
      <c r="C47" s="6">
        <f t="shared" si="1"/>
        <v>-1.8181818181818188E-2</v>
      </c>
    </row>
    <row r="48" spans="1:3" x14ac:dyDescent="0.25">
      <c r="A48" s="3">
        <v>46</v>
      </c>
      <c r="B48" s="5">
        <f>(1-A48/100)*IF(参数!$B$6="是",1,0.9)</f>
        <v>0.48600000000000004</v>
      </c>
      <c r="C48" s="6">
        <f t="shared" si="1"/>
        <v>-1.851851851851849E-2</v>
      </c>
    </row>
    <row r="49" spans="1:3" x14ac:dyDescent="0.25">
      <c r="A49" s="3">
        <v>47</v>
      </c>
      <c r="B49" s="5">
        <f>(1-A49/100)*IF(参数!$B$6="是",1,0.9)</f>
        <v>0.47700000000000004</v>
      </c>
      <c r="C49" s="6">
        <f t="shared" si="1"/>
        <v>-1.8867924528301883E-2</v>
      </c>
    </row>
    <row r="50" spans="1:3" x14ac:dyDescent="0.25">
      <c r="A50" s="3">
        <v>48</v>
      </c>
      <c r="B50" s="5">
        <f>(1-A50/100)*IF(参数!$B$6="是",1,0.9)</f>
        <v>0.46800000000000003</v>
      </c>
      <c r="C50" s="6">
        <f t="shared" si="1"/>
        <v>-1.9230769230769273E-2</v>
      </c>
    </row>
    <row r="51" spans="1:3" x14ac:dyDescent="0.25">
      <c r="A51" s="3">
        <v>49</v>
      </c>
      <c r="B51" s="5">
        <f>(1-A51/100)*IF(参数!$B$6="是",1,0.9)</f>
        <v>0.45900000000000002</v>
      </c>
      <c r="C51" s="6">
        <f t="shared" si="1"/>
        <v>-1.9607843137254943E-2</v>
      </c>
    </row>
    <row r="52" spans="1:3" x14ac:dyDescent="0.25">
      <c r="A52" s="3">
        <v>50</v>
      </c>
      <c r="B52" s="5">
        <f>(1-A52/100)*IF(参数!$B$6="是",1,0.9)</f>
        <v>0.45</v>
      </c>
      <c r="C52" s="6">
        <f t="shared" si="1"/>
        <v>-2.0000000000000018E-2</v>
      </c>
    </row>
    <row r="53" spans="1:3" x14ac:dyDescent="0.25">
      <c r="A53" s="3">
        <v>51</v>
      </c>
      <c r="B53" s="5">
        <f>(1-A53/100)*IF(参数!$B$6="是",1,0.9)</f>
        <v>0.441</v>
      </c>
      <c r="C53" s="6">
        <f t="shared" si="1"/>
        <v>-2.0408163265306145E-2</v>
      </c>
    </row>
    <row r="54" spans="1:3" x14ac:dyDescent="0.25">
      <c r="A54" s="3">
        <v>52</v>
      </c>
      <c r="B54" s="5">
        <f>(1-A54/100)*IF(参数!$B$6="是",1,0.9)</f>
        <v>0.432</v>
      </c>
      <c r="C54" s="6">
        <f t="shared" si="1"/>
        <v>-2.083333333333337E-2</v>
      </c>
    </row>
    <row r="55" spans="1:3" x14ac:dyDescent="0.25">
      <c r="A55" s="3">
        <v>53</v>
      </c>
      <c r="B55" s="5">
        <f>(1-A55/100)*IF(参数!$B$6="是",1,0.9)</f>
        <v>0.42299999999999999</v>
      </c>
      <c r="C55" s="6">
        <f t="shared" si="1"/>
        <v>-2.1276595744680882E-2</v>
      </c>
    </row>
    <row r="56" spans="1:3" x14ac:dyDescent="0.25">
      <c r="A56" s="3">
        <v>54</v>
      </c>
      <c r="B56" s="5">
        <f>(1-A56/100)*IF(参数!$B$6="是",1,0.9)</f>
        <v>0.41399999999999998</v>
      </c>
      <c r="C56" s="6">
        <f t="shared" si="1"/>
        <v>-2.1739130434782594E-2</v>
      </c>
    </row>
    <row r="57" spans="1:3" x14ac:dyDescent="0.25">
      <c r="A57" s="3">
        <v>55</v>
      </c>
      <c r="B57" s="5">
        <f>(1-A57/100)*IF(参数!$B$6="是",1,0.9)</f>
        <v>0.40499999999999997</v>
      </c>
      <c r="C57" s="6">
        <f t="shared" si="1"/>
        <v>-2.2222222222222254E-2</v>
      </c>
    </row>
    <row r="58" spans="1:3" x14ac:dyDescent="0.25">
      <c r="A58" s="3">
        <v>56</v>
      </c>
      <c r="B58" s="5">
        <f>(1-A58/100)*IF(参数!$B$6="是",1,0.9)</f>
        <v>0.39599999999999996</v>
      </c>
      <c r="C58" s="6">
        <f t="shared" si="1"/>
        <v>-2.2727272727272485E-2</v>
      </c>
    </row>
    <row r="59" spans="1:3" x14ac:dyDescent="0.25">
      <c r="A59" s="3">
        <v>57</v>
      </c>
      <c r="B59" s="5">
        <f>(1-A59/100)*IF(参数!$B$6="是",1,0.9)</f>
        <v>0.38700000000000007</v>
      </c>
      <c r="C59" s="6">
        <f t="shared" si="1"/>
        <v>-2.3255813953488413E-2</v>
      </c>
    </row>
    <row r="60" spans="1:3" x14ac:dyDescent="0.25">
      <c r="A60" s="3">
        <v>58</v>
      </c>
      <c r="B60" s="5">
        <f>(1-A60/100)*IF(参数!$B$6="是",1,0.9)</f>
        <v>0.37800000000000006</v>
      </c>
      <c r="C60" s="6">
        <f t="shared" si="1"/>
        <v>-2.3809523809523836E-2</v>
      </c>
    </row>
    <row r="61" spans="1:3" x14ac:dyDescent="0.25">
      <c r="A61" s="3">
        <v>59</v>
      </c>
      <c r="B61" s="5">
        <f>(1-A61/100)*IF(参数!$B$6="是",1,0.9)</f>
        <v>0.36900000000000005</v>
      </c>
      <c r="C61" s="6">
        <f t="shared" si="1"/>
        <v>-2.4390243902439046E-2</v>
      </c>
    </row>
    <row r="62" spans="1:3" x14ac:dyDescent="0.25">
      <c r="A62" s="3">
        <v>60</v>
      </c>
      <c r="B62" s="5">
        <f>(1-A62/100)*IF(参数!$B$6="是",1,0.9)</f>
        <v>0.36000000000000004</v>
      </c>
      <c r="C62" s="6">
        <f t="shared" si="1"/>
        <v>-2.5000000000000022E-2</v>
      </c>
    </row>
    <row r="63" spans="1:3" x14ac:dyDescent="0.25">
      <c r="A63" s="3">
        <v>61</v>
      </c>
      <c r="B63" s="5">
        <f>(1-A63/100)*IF(参数!$B$6="是",1,0.9)</f>
        <v>0.35100000000000003</v>
      </c>
      <c r="C63" s="6">
        <f t="shared" si="1"/>
        <v>-2.5641025641025661E-2</v>
      </c>
    </row>
    <row r="64" spans="1:3" x14ac:dyDescent="0.25">
      <c r="A64" s="3">
        <v>62</v>
      </c>
      <c r="B64" s="5">
        <f>(1-A64/100)*IF(参数!$B$6="是",1,0.9)</f>
        <v>0.34200000000000003</v>
      </c>
      <c r="C64" s="6">
        <f t="shared" si="1"/>
        <v>-2.6315789473684181E-2</v>
      </c>
    </row>
    <row r="65" spans="1:3" x14ac:dyDescent="0.25">
      <c r="A65" s="3">
        <v>63</v>
      </c>
      <c r="B65" s="5">
        <f>(1-A65/100)*IF(参数!$B$6="是",1,0.9)</f>
        <v>0.33300000000000002</v>
      </c>
      <c r="C65" s="6">
        <f t="shared" si="1"/>
        <v>-2.7027027027027084E-2</v>
      </c>
    </row>
    <row r="66" spans="1:3" x14ac:dyDescent="0.25">
      <c r="A66" s="3">
        <v>64</v>
      </c>
      <c r="B66" s="5">
        <f>(1-A66/100)*IF(参数!$B$6="是",1,0.9)</f>
        <v>0.32400000000000001</v>
      </c>
      <c r="C66" s="6">
        <f t="shared" ref="C66:C97" si="2">B67/B66-1</f>
        <v>-2.777777777777779E-2</v>
      </c>
    </row>
    <row r="67" spans="1:3" x14ac:dyDescent="0.25">
      <c r="A67" s="3">
        <v>65</v>
      </c>
      <c r="B67" s="5">
        <f>(1-A67/100)*IF(参数!$B$6="是",1,0.9)</f>
        <v>0.315</v>
      </c>
      <c r="C67" s="6">
        <f t="shared" si="2"/>
        <v>-2.8571428571428581E-2</v>
      </c>
    </row>
    <row r="68" spans="1:3" x14ac:dyDescent="0.25">
      <c r="A68" s="3">
        <v>66</v>
      </c>
      <c r="B68" s="5">
        <f>(1-A68/100)*IF(参数!$B$6="是",1,0.9)</f>
        <v>0.30599999999999999</v>
      </c>
      <c r="C68" s="6">
        <f t="shared" si="2"/>
        <v>-2.9411764705882359E-2</v>
      </c>
    </row>
    <row r="69" spans="1:3" x14ac:dyDescent="0.25">
      <c r="A69" s="3">
        <v>67</v>
      </c>
      <c r="B69" s="5">
        <f>(1-A69/100)*IF(参数!$B$6="是",1,0.9)</f>
        <v>0.29699999999999999</v>
      </c>
      <c r="C69" s="6">
        <f t="shared" si="2"/>
        <v>-3.0303030303030276E-2</v>
      </c>
    </row>
    <row r="70" spans="1:3" x14ac:dyDescent="0.25">
      <c r="A70" s="3">
        <v>68</v>
      </c>
      <c r="B70" s="5">
        <f>(1-A70/100)*IF(参数!$B$6="是",1,0.9)</f>
        <v>0.28799999999999998</v>
      </c>
      <c r="C70" s="6">
        <f t="shared" si="2"/>
        <v>-3.1249999999999667E-2</v>
      </c>
    </row>
    <row r="71" spans="1:3" x14ac:dyDescent="0.25">
      <c r="A71" s="3">
        <v>69</v>
      </c>
      <c r="B71" s="5">
        <f>(1-A71/100)*IF(参数!$B$6="是",1,0.9)</f>
        <v>0.27900000000000008</v>
      </c>
      <c r="C71" s="6">
        <f t="shared" si="2"/>
        <v>-3.2258064516129004E-2</v>
      </c>
    </row>
    <row r="72" spans="1:3" x14ac:dyDescent="0.25">
      <c r="A72" s="3">
        <v>70</v>
      </c>
      <c r="B72" s="5">
        <f>(1-A72/100)*IF(参数!$B$6="是",1,0.9)</f>
        <v>0.27000000000000007</v>
      </c>
      <c r="C72" s="6">
        <f t="shared" si="2"/>
        <v>-3.3333333333333326E-2</v>
      </c>
    </row>
    <row r="73" spans="1:3" x14ac:dyDescent="0.25">
      <c r="A73" s="3">
        <v>71</v>
      </c>
      <c r="B73" s="5">
        <f>(1-A73/100)*IF(参数!$B$6="是",1,0.9)</f>
        <v>0.26100000000000007</v>
      </c>
      <c r="C73" s="6">
        <f t="shared" si="2"/>
        <v>-3.4482758620689724E-2</v>
      </c>
    </row>
    <row r="74" spans="1:3" x14ac:dyDescent="0.25">
      <c r="A74" s="3">
        <v>72</v>
      </c>
      <c r="B74" s="5">
        <f>(1-A74/100)*IF(参数!$B$6="是",1,0.9)</f>
        <v>0.25200000000000006</v>
      </c>
      <c r="C74" s="6">
        <f t="shared" si="2"/>
        <v>-3.5714285714285809E-2</v>
      </c>
    </row>
    <row r="75" spans="1:3" x14ac:dyDescent="0.25">
      <c r="A75" s="3">
        <v>73</v>
      </c>
      <c r="B75" s="5">
        <f>(1-A75/100)*IF(参数!$B$6="是",1,0.9)</f>
        <v>0.24300000000000002</v>
      </c>
      <c r="C75" s="6">
        <f t="shared" si="2"/>
        <v>-3.703703703703709E-2</v>
      </c>
    </row>
    <row r="76" spans="1:3" x14ac:dyDescent="0.25">
      <c r="A76" s="3">
        <v>74</v>
      </c>
      <c r="B76" s="5">
        <f>(1-A76/100)*IF(参数!$B$6="是",1,0.9)</f>
        <v>0.23400000000000001</v>
      </c>
      <c r="C76" s="6">
        <f t="shared" si="2"/>
        <v>-3.8461538461538547E-2</v>
      </c>
    </row>
    <row r="77" spans="1:3" x14ac:dyDescent="0.25">
      <c r="A77" s="3">
        <v>75</v>
      </c>
      <c r="B77" s="5">
        <f>(1-A77/100)*IF(参数!$B$6="是",1,0.9)</f>
        <v>0.22500000000000001</v>
      </c>
      <c r="C77" s="6">
        <f t="shared" si="2"/>
        <v>-4.0000000000000036E-2</v>
      </c>
    </row>
    <row r="78" spans="1:3" x14ac:dyDescent="0.25">
      <c r="A78" s="3">
        <v>76</v>
      </c>
      <c r="B78" s="5">
        <f>(1-A78/100)*IF(参数!$B$6="是",1,0.9)</f>
        <v>0.216</v>
      </c>
      <c r="C78" s="6">
        <f t="shared" si="2"/>
        <v>-4.1666666666666741E-2</v>
      </c>
    </row>
    <row r="79" spans="1:3" x14ac:dyDescent="0.25">
      <c r="A79" s="3">
        <v>77</v>
      </c>
      <c r="B79" s="5">
        <f>(1-A79/100)*IF(参数!$B$6="是",1,0.9)</f>
        <v>0.20699999999999999</v>
      </c>
      <c r="C79" s="6">
        <f t="shared" si="2"/>
        <v>-4.3478260869565299E-2</v>
      </c>
    </row>
    <row r="80" spans="1:3" x14ac:dyDescent="0.25">
      <c r="A80" s="3">
        <v>78</v>
      </c>
      <c r="B80" s="5">
        <f>(1-A80/100)*IF(参数!$B$6="是",1,0.9)</f>
        <v>0.19799999999999998</v>
      </c>
      <c r="C80" s="6">
        <f t="shared" si="2"/>
        <v>-4.5454545454545525E-2</v>
      </c>
    </row>
    <row r="81" spans="1:3" x14ac:dyDescent="0.25">
      <c r="A81" s="3">
        <v>79</v>
      </c>
      <c r="B81" s="5">
        <f>(1-A81/100)*IF(参数!$B$6="是",1,0.9)</f>
        <v>0.18899999999999997</v>
      </c>
      <c r="C81" s="6">
        <f t="shared" si="2"/>
        <v>-4.7619047619047672E-2</v>
      </c>
    </row>
    <row r="82" spans="1:3" x14ac:dyDescent="0.25">
      <c r="A82" s="3">
        <v>80</v>
      </c>
      <c r="B82" s="5">
        <f>(1-A82/100)*IF(参数!$B$6="是",1,0.9)</f>
        <v>0.17999999999999997</v>
      </c>
      <c r="C82" s="6">
        <f t="shared" si="2"/>
        <v>-5.0000000000000044E-2</v>
      </c>
    </row>
    <row r="83" spans="1:3" x14ac:dyDescent="0.25">
      <c r="A83" s="3">
        <v>81</v>
      </c>
      <c r="B83" s="5">
        <f>(1-A83/100)*IF(参数!$B$6="是",1,0.9)</f>
        <v>0.17099999999999996</v>
      </c>
      <c r="C83" s="6">
        <f t="shared" si="2"/>
        <v>-5.2631578947367808E-2</v>
      </c>
    </row>
    <row r="84" spans="1:3" x14ac:dyDescent="0.25">
      <c r="A84" s="3">
        <v>82</v>
      </c>
      <c r="B84" s="5">
        <f>(1-A84/100)*IF(参数!$B$6="是",1,0.9)</f>
        <v>0.16200000000000006</v>
      </c>
      <c r="C84" s="6">
        <f t="shared" si="2"/>
        <v>-5.555555555555558E-2</v>
      </c>
    </row>
    <row r="85" spans="1:3" x14ac:dyDescent="0.25">
      <c r="A85" s="3">
        <v>83</v>
      </c>
      <c r="B85" s="5">
        <f>(1-A85/100)*IF(参数!$B$6="是",1,0.9)</f>
        <v>0.15300000000000005</v>
      </c>
      <c r="C85" s="6">
        <f t="shared" si="2"/>
        <v>-5.8823529411764719E-2</v>
      </c>
    </row>
    <row r="86" spans="1:3" x14ac:dyDescent="0.25">
      <c r="A86" s="3">
        <v>84</v>
      </c>
      <c r="B86" s="5">
        <f>(1-A86/100)*IF(参数!$B$6="是",1,0.9)</f>
        <v>0.14400000000000004</v>
      </c>
      <c r="C86" s="6">
        <f t="shared" si="2"/>
        <v>-6.25E-2</v>
      </c>
    </row>
    <row r="87" spans="1:3" x14ac:dyDescent="0.25">
      <c r="A87" s="3">
        <v>85</v>
      </c>
      <c r="B87" s="5">
        <f>(1-A87/100)*IF(参数!$B$6="是",1,0.9)</f>
        <v>0.13500000000000004</v>
      </c>
      <c r="C87" s="6">
        <f t="shared" si="2"/>
        <v>-6.6666666666666763E-2</v>
      </c>
    </row>
    <row r="88" spans="1:3" x14ac:dyDescent="0.25">
      <c r="A88" s="3">
        <v>86</v>
      </c>
      <c r="B88" s="5">
        <f>(1-A88/100)*IF(参数!$B$6="是",1,0.9)</f>
        <v>0.12600000000000003</v>
      </c>
      <c r="C88" s="6">
        <f t="shared" si="2"/>
        <v>-7.1428571428571619E-2</v>
      </c>
    </row>
    <row r="89" spans="1:3" x14ac:dyDescent="0.25">
      <c r="A89" s="3">
        <v>87</v>
      </c>
      <c r="B89" s="5">
        <f>(1-A89/100)*IF(参数!$B$6="是",1,0.9)</f>
        <v>0.11700000000000001</v>
      </c>
      <c r="C89" s="6">
        <f t="shared" si="2"/>
        <v>-7.6923076923076983E-2</v>
      </c>
    </row>
    <row r="90" spans="1:3" x14ac:dyDescent="0.25">
      <c r="A90" s="3">
        <v>88</v>
      </c>
      <c r="B90" s="5">
        <f>(1-A90/100)*IF(参数!$B$6="是",1,0.9)</f>
        <v>0.108</v>
      </c>
      <c r="C90" s="6">
        <f t="shared" si="2"/>
        <v>-8.333333333333337E-2</v>
      </c>
    </row>
    <row r="91" spans="1:3" x14ac:dyDescent="0.25">
      <c r="A91" s="3">
        <v>89</v>
      </c>
      <c r="B91" s="5">
        <f>(1-A91/100)*IF(参数!$B$6="是",1,0.9)</f>
        <v>9.8999999999999991E-2</v>
      </c>
      <c r="C91" s="6">
        <f t="shared" si="2"/>
        <v>-9.090909090909105E-2</v>
      </c>
    </row>
    <row r="92" spans="1:3" x14ac:dyDescent="0.25">
      <c r="A92" s="3">
        <v>90</v>
      </c>
      <c r="B92" s="5">
        <f>(1-A92/100)*IF(参数!$B$6="是",1,0.9)</f>
        <v>8.9999999999999983E-2</v>
      </c>
      <c r="C92" s="6"/>
    </row>
  </sheetData>
  <mergeCells count="1">
    <mergeCell ref="E2:H5"/>
  </mergeCells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总览</vt:lpstr>
      <vt:lpstr>参数</vt:lpstr>
      <vt:lpstr>属性乘区</vt:lpstr>
      <vt:lpstr>增伤乘区</vt:lpstr>
      <vt:lpstr>易伤乘区</vt:lpstr>
      <vt:lpstr>暴击率乘区</vt:lpstr>
      <vt:lpstr>暴击伤害乘区</vt:lpstr>
      <vt:lpstr>防御乘区</vt:lpstr>
      <vt:lpstr>抗性乘区</vt:lpstr>
      <vt:lpstr>减伤乘区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T164283</cp:lastModifiedBy>
  <dcterms:created xsi:type="dcterms:W3CDTF">2026-04-05T10:20:42Z</dcterms:created>
  <dcterms:modified xsi:type="dcterms:W3CDTF">2026-04-05T12:39:47Z</dcterms:modified>
</cp:coreProperties>
</file>