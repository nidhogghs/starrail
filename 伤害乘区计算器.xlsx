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常规伤害计算器" sheetId="1" state="visible" r:id="rId1"/>
    <sheet name="击破·超击破计算器" sheetId="2" state="visible" r:id="rId2"/>
    <sheet name="欢愉伤害计算器" sheetId="3" state="visible" r:id="rId3"/>
    <sheet name="公式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18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color rgb="001F4E79"/>
      <sz val="10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0000FF"/>
      <sz val="11"/>
    </font>
    <font>
      <name val="微软雅黑"/>
      <color rgb="00808080"/>
      <sz val="9"/>
    </font>
    <font>
      <name val="微软雅黑"/>
      <b val="1"/>
      <color rgb="00375623"/>
      <sz val="11"/>
    </font>
    <font>
      <name val="微软雅黑"/>
      <b val="1"/>
      <sz val="12"/>
    </font>
    <font>
      <name val="微软雅黑"/>
      <b val="1"/>
      <color rgb="00006100"/>
      <sz val="13"/>
    </font>
    <font>
      <name val="微软雅黑"/>
      <b val="1"/>
      <color rgb="00006100"/>
    </font>
    <font>
      <name val="微软雅黑"/>
      <b val="1"/>
      <color rgb="00C00000"/>
      <sz val="13"/>
    </font>
    <font>
      <name val="微软雅黑"/>
      <b val="1"/>
      <color rgb="00C00000"/>
    </font>
    <font>
      <name val="微软雅黑"/>
      <b val="1"/>
      <sz val="11"/>
    </font>
    <font>
      <name val="微软雅黑"/>
      <b val="1"/>
      <color rgb="007F6000"/>
      <sz val="12"/>
    </font>
    <font>
      <name val="微软雅黑"/>
      <b val="1"/>
      <color rgb="001F4E79"/>
      <sz val="9"/>
    </font>
    <font>
      <name val="微软雅黑"/>
      <b val="1"/>
      <color rgb="007030A0"/>
      <sz val="9"/>
    </font>
    <font>
      <name val="微软雅黑"/>
      <b val="1"/>
      <color rgb="001F4E79"/>
      <sz val="11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0FE"/>
      </patternFill>
    </fill>
    <fill>
      <patternFill patternType="solid">
        <fgColor rgb="004472C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DE8E8"/>
      </patternFill>
    </fill>
    <fill>
      <patternFill patternType="solid">
        <fgColor rgb="00FFF8E1"/>
      </patternFill>
    </fill>
    <fill>
      <patternFill patternType="solid">
        <fgColor rgb="00F3E5F5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164" fontId="5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165" fontId="7" fillId="9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3" fontId="9" fillId="1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3" fontId="11" fillId="11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left" vertical="center" wrapText="1"/>
    </xf>
    <xf numFmtId="3" fontId="14" fillId="12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16" fillId="13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D38"/>
  <sheetViews>
    <sheetView zoomScale="10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28" customWidth="1" min="3" max="3"/>
    <col width="18" customWidth="1" min="4" max="4"/>
  </cols>
  <sheetData>
    <row r="1" ht="36" customHeight="1">
      <c r="A1" s="1" t="inlineStr">
        <is>
          <t>崩坏：星穹铁道 · 伤害乘区公式计算器</t>
        </is>
      </c>
      <c r="B1" s="2" t="n"/>
      <c r="C1" s="2" t="n"/>
      <c r="D1" s="2" t="n"/>
    </row>
    <row r="2" ht="28" customHeight="1">
      <c r="A2" s="3" t="inlineStr">
        <is>
          <t>伤害 = 基础倍率 × 属性乘区 × 增伤乘区 × 易伤乘区 × 暴击乘区 × 防御乘区 × 抗性乘区 × 减伤乘区 × 韧性减伤</t>
        </is>
      </c>
    </row>
    <row r="4" ht="28" customHeight="1">
      <c r="A4" s="4" t="inlineStr">
        <is>
          <t>▼ 角色属性（蓝色单元格可输入）</t>
        </is>
      </c>
      <c r="B4" s="2" t="n"/>
      <c r="C4" s="2" t="n"/>
      <c r="D4" s="2" t="n"/>
    </row>
    <row r="5" ht="26" customHeight="1">
      <c r="A5" s="5" t="inlineStr">
        <is>
          <t>属性名称</t>
        </is>
      </c>
      <c r="B5" s="5" t="inlineStr">
        <is>
          <t>输入值</t>
        </is>
      </c>
      <c r="C5" s="5" t="inlineStr">
        <is>
          <t>说明</t>
        </is>
      </c>
      <c r="D5" s="5" t="inlineStr">
        <is>
          <t>单位</t>
        </is>
      </c>
    </row>
    <row r="6">
      <c r="A6" s="6" t="inlineStr">
        <is>
          <t>基础攻击力（白值）</t>
        </is>
      </c>
      <c r="B6" s="7" t="n">
        <v>800</v>
      </c>
      <c r="C6" s="8" t="inlineStr">
        <is>
          <t>角色基础攻击力 + 光锥基础攻击力</t>
        </is>
      </c>
      <c r="D6" s="9" t="inlineStr">
        <is>
          <t>点</t>
        </is>
      </c>
    </row>
    <row r="7">
      <c r="A7" s="6" t="inlineStr">
        <is>
          <t>攻击力%加成（总和）</t>
        </is>
      </c>
      <c r="B7" s="7" t="n">
        <v>100</v>
      </c>
      <c r="C7" s="8" t="inlineStr">
        <is>
          <t>遗器+光锥+增益的攻击力%之和</t>
        </is>
      </c>
      <c r="D7" s="9" t="inlineStr">
        <is>
          <t>%</t>
        </is>
      </c>
    </row>
    <row r="8">
      <c r="A8" s="6" t="inlineStr">
        <is>
          <t>固定攻击力加成</t>
        </is>
      </c>
      <c r="B8" s="7" t="n">
        <v>400</v>
      </c>
      <c r="C8" s="8" t="inlineStr">
        <is>
          <t>遗器副词条+增益的固定攻击力之和</t>
        </is>
      </c>
      <c r="D8" s="9" t="inlineStr">
        <is>
          <t>点</t>
        </is>
      </c>
    </row>
    <row r="9">
      <c r="A9" s="6" t="inlineStr">
        <is>
          <t>技能倍率%</t>
        </is>
      </c>
      <c r="B9" s="7" t="n">
        <v>200</v>
      </c>
      <c r="C9" s="8" t="inlineStr">
        <is>
          <t>该技能的伤害倍率（如终结技240%）</t>
        </is>
      </c>
      <c r="D9" s="9" t="inlineStr">
        <is>
          <t>%</t>
        </is>
      </c>
    </row>
    <row r="10">
      <c r="A10" s="6" t="inlineStr">
        <is>
          <t>增伤区%（总和）</t>
        </is>
      </c>
      <c r="B10" s="7" t="n">
        <v>80</v>
      </c>
      <c r="C10" s="8" t="inlineStr">
        <is>
          <t>所有增伤效果之和（元素伤害杯+光锥+增益等）</t>
        </is>
      </c>
      <c r="D10" s="9" t="inlineStr">
        <is>
          <t>%</t>
        </is>
      </c>
    </row>
    <row r="11">
      <c r="A11" s="6" t="inlineStr">
        <is>
          <t>易伤区%（总和）</t>
        </is>
      </c>
      <c r="B11" s="7" t="n">
        <v>30</v>
      </c>
      <c r="C11" s="8" t="inlineStr">
        <is>
          <t>敌方受到的伤害提高%之和</t>
        </is>
      </c>
      <c r="D11" s="9" t="inlineStr">
        <is>
          <t>%</t>
        </is>
      </c>
    </row>
    <row r="12">
      <c r="A12" s="6" t="inlineStr">
        <is>
          <t>暴击率%</t>
        </is>
      </c>
      <c r="B12" s="7" t="n">
        <v>70</v>
      </c>
      <c r="C12" s="8" t="inlineStr">
        <is>
          <t>角色面板暴击率</t>
        </is>
      </c>
      <c r="D12" s="9" t="inlineStr">
        <is>
          <t>%</t>
        </is>
      </c>
    </row>
    <row r="13">
      <c r="A13" s="6" t="inlineStr">
        <is>
          <t>暴击伤害%</t>
        </is>
      </c>
      <c r="B13" s="7" t="n">
        <v>140</v>
      </c>
      <c r="C13" s="8" t="inlineStr">
        <is>
          <t>角色面板暴击伤害</t>
        </is>
      </c>
      <c r="D13" s="9" t="inlineStr">
        <is>
          <t>%</t>
        </is>
      </c>
    </row>
    <row r="14">
      <c r="A14" s="6" t="inlineStr">
        <is>
          <t>防御穿透/减防%（总和）</t>
        </is>
      </c>
      <c r="B14" s="7" t="n">
        <v>20</v>
      </c>
      <c r="C14" s="8" t="inlineStr">
        <is>
          <t>无视防御力% + 防御力降低%</t>
        </is>
      </c>
      <c r="D14" s="9" t="inlineStr">
        <is>
          <t>%</t>
        </is>
      </c>
    </row>
    <row r="15">
      <c r="A15" s="6" t="inlineStr">
        <is>
          <t>抗穿/减抗%（总和）</t>
        </is>
      </c>
      <c r="B15" s="7" t="n">
        <v>30</v>
      </c>
      <c r="C15" s="8" t="inlineStr">
        <is>
          <t>抗性穿透% + 敌方抗性降低%</t>
        </is>
      </c>
      <c r="D15" s="9" t="inlineStr">
        <is>
          <t>%</t>
        </is>
      </c>
    </row>
    <row r="17" ht="28" customHeight="1">
      <c r="A17" s="4" t="inlineStr">
        <is>
          <t>▼ 怪物/敌方属性</t>
        </is>
      </c>
      <c r="B17" s="2" t="n"/>
      <c r="C17" s="2" t="n"/>
      <c r="D17" s="2" t="n"/>
    </row>
    <row r="18" ht="26" customHeight="1">
      <c r="A18" s="5" t="inlineStr">
        <is>
          <t>属性名称</t>
        </is>
      </c>
      <c r="B18" s="5" t="inlineStr">
        <is>
          <t>输入值</t>
        </is>
      </c>
      <c r="C18" s="5" t="inlineStr">
        <is>
          <t>说明</t>
        </is>
      </c>
      <c r="D18" s="5" t="inlineStr">
        <is>
          <t>单位</t>
        </is>
      </c>
    </row>
    <row r="19">
      <c r="A19" s="6" t="inlineStr">
        <is>
          <t>攻击者等级</t>
        </is>
      </c>
      <c r="B19" s="7" t="n">
        <v>80</v>
      </c>
      <c r="C19" s="8" t="inlineStr">
        <is>
          <t>我方角色等级</t>
        </is>
      </c>
      <c r="D19" s="9" t="inlineStr">
        <is>
          <t>级</t>
        </is>
      </c>
    </row>
    <row r="20">
      <c r="A20" s="6" t="inlineStr">
        <is>
          <t>敌方等级</t>
        </is>
      </c>
      <c r="B20" s="7" t="n">
        <v>95</v>
      </c>
      <c r="C20" s="8" t="inlineStr">
        <is>
          <t>怪物等级（普通80/混沌90/末日95等）</t>
        </is>
      </c>
      <c r="D20" s="9" t="inlineStr">
        <is>
          <t>级</t>
        </is>
      </c>
    </row>
    <row r="21">
      <c r="A21" s="6" t="inlineStr">
        <is>
          <t>敌方基础抗性%</t>
        </is>
      </c>
      <c r="B21" s="7" t="n">
        <v>20</v>
      </c>
      <c r="C21" s="8" t="inlineStr">
        <is>
          <t>怪物自带的元素抗性（大部分为20%）</t>
        </is>
      </c>
      <c r="D21" s="9" t="inlineStr">
        <is>
          <t>%</t>
        </is>
      </c>
    </row>
    <row r="22">
      <c r="A22" s="6" t="inlineStr">
        <is>
          <t>是否已击破弱点</t>
        </is>
      </c>
      <c r="B22" s="7" t="n">
        <v>0</v>
      </c>
      <c r="C22" s="8" t="inlineStr">
        <is>
          <t>已击破填1，未击破填0（未击破额外×0.9韧性减伤）</t>
        </is>
      </c>
      <c r="D22" s="9" t="inlineStr">
        <is>
          <t>0/1</t>
        </is>
      </c>
    </row>
    <row r="23">
      <c r="A23" s="6" t="inlineStr">
        <is>
          <t>敌方额外减伤%</t>
        </is>
      </c>
      <c r="B23" s="7" t="n">
        <v>0</v>
      </c>
      <c r="C23" s="8" t="inlineStr">
        <is>
          <t>部分怪物自带的额外减伤（通常为0）</t>
        </is>
      </c>
      <c r="D23" s="9" t="inlineStr">
        <is>
          <t>%</t>
        </is>
      </c>
    </row>
    <row r="25" ht="28" customHeight="1">
      <c r="A25" s="4" t="inlineStr">
        <is>
          <t>▼ 各乘区系数（自动计算）</t>
        </is>
      </c>
      <c r="B25" s="2" t="n"/>
      <c r="C25" s="2" t="n"/>
      <c r="D25" s="2" t="n"/>
    </row>
    <row r="26" ht="26" customHeight="1">
      <c r="A26" s="5" t="inlineStr">
        <is>
          <t>乘区名称</t>
        </is>
      </c>
      <c r="B26" s="5" t="inlineStr">
        <is>
          <t>乘区系数</t>
        </is>
      </c>
      <c r="C26" s="5" t="inlineStr">
        <is>
          <t>计算公式说明</t>
        </is>
      </c>
      <c r="D26" s="5" t="inlineStr">
        <is>
          <t>备注</t>
        </is>
      </c>
    </row>
    <row r="27" ht="26" customHeight="1">
      <c r="A27" s="6" t="inlineStr">
        <is>
          <t>① 基础伤害</t>
        </is>
      </c>
      <c r="B27" s="10">
        <f>(B6*(1+B7/100)+B8)*B9/100</f>
        <v/>
      </c>
      <c r="C27" s="8" t="inlineStr">
        <is>
          <t>(基础攻击×(1+攻击力%)+固定攻击)×技能倍率%</t>
        </is>
      </c>
      <c r="D27" s="11" t="inlineStr">
        <is>
          <t>属性×倍率</t>
        </is>
      </c>
    </row>
    <row r="28" ht="26" customHeight="1">
      <c r="A28" s="6" t="inlineStr">
        <is>
          <t>② 增伤乘区</t>
        </is>
      </c>
      <c r="B28" s="10">
        <f>1+B10/100</f>
        <v/>
      </c>
      <c r="C28" s="8" t="inlineStr">
        <is>
          <t>1 + 增伤区%总和</t>
        </is>
      </c>
      <c r="D28" s="11" t="inlineStr">
        <is>
          <t>所有增伤加算</t>
        </is>
      </c>
    </row>
    <row r="29" ht="26" customHeight="1">
      <c r="A29" s="6" t="inlineStr">
        <is>
          <t>③ 易伤乘区</t>
        </is>
      </c>
      <c r="B29" s="10">
        <f>1+B11/100</f>
        <v/>
      </c>
      <c r="C29" s="8" t="inlineStr">
        <is>
          <t>1 + 易伤区%总和</t>
        </is>
      </c>
      <c r="D29" s="11" t="inlineStr">
        <is>
          <t>与增伤区独立相乘</t>
        </is>
      </c>
    </row>
    <row r="30" ht="26" customHeight="1">
      <c r="A30" s="6" t="inlineStr">
        <is>
          <t>④ 暴击期望乘区</t>
        </is>
      </c>
      <c r="B30" s="10">
        <f>1+MIN(B12,100)/100*B13/100</f>
        <v/>
      </c>
      <c r="C30" s="8" t="inlineStr">
        <is>
          <t>1 + min(暴击率,100%) × 暴击伤害%</t>
        </is>
      </c>
      <c r="D30" s="11" t="inlineStr">
        <is>
          <t>期望伤害；暴击率超100%无效</t>
        </is>
      </c>
    </row>
    <row r="31" ht="26" customHeight="1">
      <c r="A31" s="6" t="inlineStr">
        <is>
          <t>⑤ 防御乘区</t>
        </is>
      </c>
      <c r="B31" s="10">
        <f>1-((200+10*B20)*(1-B14/100))/((200+10*B20)*(1-B14/100)+200+10*B19)</f>
        <v/>
      </c>
      <c r="C31" s="8" t="inlineStr">
        <is>
          <t>1 - DEF×(1-减防%) / (DEF×(1-减防%)+200+10×攻击者等级)</t>
        </is>
      </c>
      <c r="D31" s="11" t="inlineStr">
        <is>
          <t>DEF = 200+10×怪物等级</t>
        </is>
      </c>
    </row>
    <row r="32" ht="26" customHeight="1">
      <c r="A32" s="6" t="inlineStr">
        <is>
          <t>⑥ 抗性乘区</t>
        </is>
      </c>
      <c r="B32" s="10">
        <f>1-MAX(-100,MIN(90,B21-B15))/100</f>
        <v/>
      </c>
      <c r="C32" s="8" t="inlineStr">
        <is>
          <t>1 - max(-100%, min(90%, 基础抗性-抗穿))</t>
        </is>
      </c>
      <c r="D32" s="11" t="inlineStr">
        <is>
          <t>最终抗性限制-100%~90%</t>
        </is>
      </c>
    </row>
    <row r="33" ht="26" customHeight="1">
      <c r="A33" s="6" t="inlineStr">
        <is>
          <t>⑦ 减伤乘区</t>
        </is>
      </c>
      <c r="B33" s="10">
        <f>(1-B23/100)*IF(B22=1,1,0.9)</f>
        <v/>
      </c>
      <c r="C33" s="8" t="inlineStr">
        <is>
          <t>(1-敌方减伤%) × 韧性系数</t>
        </is>
      </c>
      <c r="D33" s="11" t="inlineStr">
        <is>
          <t>未击破额外×0.9</t>
        </is>
      </c>
    </row>
    <row r="35" ht="28" customHeight="1">
      <c r="A35" s="4" t="inlineStr">
        <is>
          <t>▼ 最终伤害结果</t>
        </is>
      </c>
      <c r="B35" s="2" t="n"/>
      <c r="C35" s="2" t="n"/>
      <c r="D35" s="2" t="n"/>
    </row>
    <row r="36" ht="32" customHeight="1">
      <c r="A36" s="12" t="inlineStr">
        <is>
          <t>期望伤害（含暴击期望）</t>
        </is>
      </c>
      <c r="B36" s="13">
        <f>B27*B28*B29*B30*B31*B32*B33</f>
        <v/>
      </c>
      <c r="C36" s="8" t="inlineStr">
        <is>
          <t>基础伤害×增伤×易伤×暴击期望×防御×抗性×减伤</t>
        </is>
      </c>
      <c r="D36" s="14" t="inlineStr">
        <is>
          <t>最常用</t>
        </is>
      </c>
    </row>
    <row r="37" ht="32" customHeight="1">
      <c r="A37" s="12" t="inlineStr">
        <is>
          <t>暴击时伤害</t>
        </is>
      </c>
      <c r="B37" s="15">
        <f>B27*B28*B29*(1+B13/100)*B31*B32*B33</f>
        <v/>
      </c>
      <c r="C37" s="8" t="inlineStr">
        <is>
          <t>暴击率替换为100%，直接乘(1+暴击伤害%)</t>
        </is>
      </c>
      <c r="D37" s="16" t="inlineStr">
        <is>
          <t>暴击时</t>
        </is>
      </c>
    </row>
    <row r="38" ht="28" customHeight="1">
      <c r="A38" s="17" t="inlineStr">
        <is>
          <t>非暴击伤害</t>
        </is>
      </c>
      <c r="B38" s="18">
        <f>B27*B28*B29*1*B31*B32*B33</f>
        <v/>
      </c>
      <c r="C38" s="8" t="inlineStr">
        <is>
          <t>暴击乘区=1（不暴击）</t>
        </is>
      </c>
      <c r="D38" s="9" t="inlineStr">
        <is>
          <t>非暴击</t>
        </is>
      </c>
    </row>
  </sheetData>
  <mergeCells count="6">
    <mergeCell ref="A1:D1"/>
    <mergeCell ref="A17:D17"/>
    <mergeCell ref="A35:D35"/>
    <mergeCell ref="A4:D4"/>
    <mergeCell ref="A25:D25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D7D31"/>
    <outlinePr summaryBelow="1" summaryRight="1"/>
    <pageSetUpPr/>
  </sheetPr>
  <dimension ref="A1:D31"/>
  <sheetViews>
    <sheetView zoomScale="10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28" customWidth="1" min="3" max="3"/>
    <col width="18" customWidth="1" min="4" max="4"/>
  </cols>
  <sheetData>
    <row r="1" ht="36" customHeight="1">
      <c r="A1" s="1" t="inlineStr">
        <is>
          <t>击破伤害 / 超击破伤害计算器</t>
        </is>
      </c>
    </row>
    <row r="2" ht="28" customHeight="1">
      <c r="A2" s="19" t="inlineStr">
        <is>
          <t>击破伤害 = 击破基数 × 等级系数 × (1+击破特攻%) × 击破伤害提高乘区 × 防御乘区 × 抗性乘区 × 减伤乘区 × 易伤乘区</t>
        </is>
      </c>
    </row>
    <row r="4" ht="28" customHeight="1">
      <c r="A4" s="4" t="inlineStr">
        <is>
          <t>▼ 击破属性输入</t>
        </is>
      </c>
      <c r="B4" s="2" t="n"/>
      <c r="C4" s="2" t="n"/>
      <c r="D4" s="2" t="n"/>
    </row>
    <row r="5">
      <c r="A5" s="5" t="inlineStr">
        <is>
          <t>属性名称</t>
        </is>
      </c>
      <c r="B5" s="5" t="inlineStr">
        <is>
          <t>输入值</t>
        </is>
      </c>
      <c r="C5" s="5" t="inlineStr">
        <is>
          <t>说明</t>
        </is>
      </c>
      <c r="D5" s="5" t="inlineStr">
        <is>
          <t>单位</t>
        </is>
      </c>
    </row>
    <row r="6">
      <c r="A6" s="6" t="inlineStr">
        <is>
          <t>攻击者等级</t>
        </is>
      </c>
      <c r="B6" s="7" t="n">
        <v>80</v>
      </c>
      <c r="C6" s="8" t="inlineStr">
        <is>
          <t>角色等级</t>
        </is>
      </c>
      <c r="D6" s="9" t="inlineStr">
        <is>
          <t>级</t>
        </is>
      </c>
    </row>
    <row r="7">
      <c r="A7" s="6" t="inlineStr">
        <is>
          <t>敌方等级</t>
        </is>
      </c>
      <c r="B7" s="7" t="n">
        <v>95</v>
      </c>
      <c r="C7" s="8" t="inlineStr">
        <is>
          <t>怪物等级</t>
        </is>
      </c>
      <c r="D7" s="9" t="inlineStr">
        <is>
          <t>级</t>
        </is>
      </c>
    </row>
    <row r="8">
      <c r="A8" s="6" t="inlineStr">
        <is>
          <t>击破特攻%</t>
        </is>
      </c>
      <c r="B8" s="7" t="n">
        <v>200</v>
      </c>
      <c r="C8" s="8" t="inlineStr">
        <is>
          <t>角色面板击破特攻</t>
        </is>
      </c>
      <c r="D8" s="9" t="inlineStr">
        <is>
          <t>%</t>
        </is>
      </c>
    </row>
    <row r="9">
      <c r="A9" s="6" t="inlineStr">
        <is>
          <t>击破伤害提高%</t>
        </is>
      </c>
      <c r="B9" s="7" t="n">
        <v>40</v>
      </c>
      <c r="C9" s="8" t="inlineStr">
        <is>
          <t>击破伤害提高效果之和</t>
        </is>
      </c>
      <c r="D9" s="9" t="inlineStr">
        <is>
          <t>%</t>
        </is>
      </c>
    </row>
    <row r="10">
      <c r="A10" s="6" t="inlineStr">
        <is>
          <t>超击破伤害提高%</t>
        </is>
      </c>
      <c r="B10" s="7" t="n">
        <v>60</v>
      </c>
      <c r="C10" s="8" t="inlineStr">
        <is>
          <t>超击破伤害提高效果之和</t>
        </is>
      </c>
      <c r="D10" s="9" t="inlineStr">
        <is>
          <t>%</t>
        </is>
      </c>
    </row>
    <row r="11">
      <c r="A11" s="6" t="inlineStr">
        <is>
          <t>易伤区%（总和）</t>
        </is>
      </c>
      <c r="B11" s="7" t="n">
        <v>30</v>
      </c>
      <c r="C11" s="8" t="inlineStr">
        <is>
          <t>敌方受到伤害提高%之和</t>
        </is>
      </c>
      <c r="D11" s="9" t="inlineStr">
        <is>
          <t>%</t>
        </is>
      </c>
    </row>
    <row r="12">
      <c r="A12" s="6" t="inlineStr">
        <is>
          <t>防御穿透/减防%</t>
        </is>
      </c>
      <c r="B12" s="7" t="n">
        <v>20</v>
      </c>
      <c r="C12" s="8" t="inlineStr">
        <is>
          <t>减防/无视防御%之和</t>
        </is>
      </c>
      <c r="D12" s="9" t="inlineStr">
        <is>
          <t>%</t>
        </is>
      </c>
    </row>
    <row r="13">
      <c r="A13" s="6" t="inlineStr">
        <is>
          <t>敌方基础抗性%</t>
        </is>
      </c>
      <c r="B13" s="7" t="n">
        <v>20</v>
      </c>
      <c r="C13" s="8" t="inlineStr">
        <is>
          <t>怪物元素抗性</t>
        </is>
      </c>
      <c r="D13" s="9" t="inlineStr">
        <is>
          <t>%</t>
        </is>
      </c>
    </row>
    <row r="14">
      <c r="A14" s="6" t="inlineStr">
        <is>
          <t>抗穿/减抗%</t>
        </is>
      </c>
      <c r="B14" s="7" t="n">
        <v>30</v>
      </c>
      <c r="C14" s="8" t="inlineStr">
        <is>
          <t>抗性穿透/减抗之和</t>
        </is>
      </c>
      <c r="D14" s="9" t="inlineStr">
        <is>
          <t>%</t>
        </is>
      </c>
    </row>
    <row r="15">
      <c r="A15" s="6" t="inlineStr">
        <is>
          <t>是否已击破弱点</t>
        </is>
      </c>
      <c r="B15" s="7" t="n">
        <v>1</v>
      </c>
      <c r="C15" s="8" t="inlineStr">
        <is>
          <t>击破伤害时通常已击破(填1)</t>
        </is>
      </c>
      <c r="D15" s="9" t="inlineStr">
        <is>
          <t>0/1</t>
        </is>
      </c>
    </row>
    <row r="16">
      <c r="A16" s="6" t="inlineStr">
        <is>
          <t>敌方额外减伤%</t>
        </is>
      </c>
      <c r="B16" s="7" t="n">
        <v>0</v>
      </c>
      <c r="C16" s="8" t="inlineStr">
        <is>
          <t>怪物自带减伤</t>
        </is>
      </c>
      <c r="D16" s="9" t="inlineStr">
        <is>
          <t>%</t>
        </is>
      </c>
    </row>
    <row r="17">
      <c r="A17" s="6" t="inlineStr">
        <is>
          <t>击破类型基数</t>
        </is>
      </c>
      <c r="B17" s="7" t="n">
        <v>2</v>
      </c>
      <c r="C17" s="8" t="inlineStr">
        <is>
          <t>火/雷/风=2, 物理/量子=1, 冰/虚数=1, 详见说明</t>
        </is>
      </c>
      <c r="D17" s="9" t="inlineStr">
        <is>
          <t>倍</t>
        </is>
      </c>
    </row>
    <row r="18">
      <c r="A18" s="6" t="inlineStr">
        <is>
          <t>最大韧性值</t>
        </is>
      </c>
      <c r="B18" s="7" t="n">
        <v>360</v>
      </c>
      <c r="C18" s="8" t="inlineStr">
        <is>
          <t>怪物的韧性条总值（影响超击破）</t>
        </is>
      </c>
      <c r="D18" s="9" t="inlineStr">
        <is>
          <t>点</t>
        </is>
      </c>
    </row>
    <row r="20" ht="28" customHeight="1">
      <c r="A20" s="4" t="inlineStr">
        <is>
          <t>▼ 计算结果</t>
        </is>
      </c>
      <c r="B20" s="2" t="n"/>
      <c r="C20" s="2" t="n"/>
      <c r="D20" s="2" t="n"/>
    </row>
    <row r="21">
      <c r="A21" s="5" t="inlineStr">
        <is>
          <t>乘区/结果</t>
        </is>
      </c>
      <c r="B21" s="5" t="inlineStr">
        <is>
          <t>数值</t>
        </is>
      </c>
      <c r="C21" s="5" t="inlineStr">
        <is>
          <t>公式说明</t>
        </is>
      </c>
      <c r="D21" s="5" t="inlineStr">
        <is>
          <t>备注</t>
        </is>
      </c>
    </row>
    <row r="22">
      <c r="A22" s="6" t="inlineStr">
        <is>
          <t>等级系数（80级≈3767.55）</t>
        </is>
      </c>
      <c r="B22" s="10">
        <f>54.763*POWER(EXP(1),0.05*B6)</f>
        <v/>
      </c>
      <c r="C22" s="8" t="inlineStr">
        <is>
          <t>近似公式: 54.763 × e^(0.05×等级)</t>
        </is>
      </c>
      <c r="D22" s="11" t="inlineStr">
        <is>
          <t>近似值</t>
        </is>
      </c>
    </row>
    <row r="23">
      <c r="A23" s="6" t="inlineStr">
        <is>
          <t>击破特攻乘区</t>
        </is>
      </c>
      <c r="B23" s="10">
        <f>1+B8/100</f>
        <v/>
      </c>
      <c r="C23" s="8" t="inlineStr">
        <is>
          <t>1 + 击破特攻%</t>
        </is>
      </c>
      <c r="D23" s="11" t="inlineStr"/>
    </row>
    <row r="24">
      <c r="A24" s="6" t="inlineStr">
        <is>
          <t>击破伤害提高乘区</t>
        </is>
      </c>
      <c r="B24" s="10">
        <f>1+B9/100</f>
        <v/>
      </c>
      <c r="C24" s="8" t="inlineStr">
        <is>
          <t>1 + 击破伤害提高%</t>
        </is>
      </c>
      <c r="D24" s="11" t="inlineStr"/>
    </row>
    <row r="25">
      <c r="A25" s="6" t="inlineStr">
        <is>
          <t>防御乘区</t>
        </is>
      </c>
      <c r="B25" s="10">
        <f>1-((200+10*B7)*(1-B12/100))/((200+10*B7)*(1-B12/100)+200+10*B6)</f>
        <v/>
      </c>
      <c r="C25" s="8" t="inlineStr">
        <is>
          <t>同常规伤害防御乘区公式</t>
        </is>
      </c>
      <c r="D25" s="11" t="inlineStr"/>
    </row>
    <row r="26">
      <c r="A26" s="6" t="inlineStr">
        <is>
          <t>抗性乘区</t>
        </is>
      </c>
      <c r="B26" s="10">
        <f>1-MAX(-100,MIN(90,B13-B14))/100</f>
        <v/>
      </c>
      <c r="C26" s="8" t="inlineStr">
        <is>
          <t>同常规伤害抗性乘区公式</t>
        </is>
      </c>
      <c r="D26" s="11" t="inlineStr"/>
    </row>
    <row r="27">
      <c r="A27" s="6" t="inlineStr">
        <is>
          <t>减伤乘区</t>
        </is>
      </c>
      <c r="B27" s="10">
        <f>(1-B16/100)*IF(B15=1,1,0.9)</f>
        <v/>
      </c>
      <c r="C27" s="8" t="inlineStr">
        <is>
          <t>同常规伤害减伤公式</t>
        </is>
      </c>
      <c r="D27" s="11" t="inlineStr"/>
    </row>
    <row r="28">
      <c r="A28" s="6" t="inlineStr">
        <is>
          <t>易伤乘区</t>
        </is>
      </c>
      <c r="B28" s="10">
        <f>1+B11/100</f>
        <v/>
      </c>
      <c r="C28" s="8" t="inlineStr">
        <is>
          <t>1 + 易伤区%</t>
        </is>
      </c>
      <c r="D28" s="11" t="inlineStr"/>
    </row>
    <row r="30" ht="32" customHeight="1">
      <c r="A30" s="12" t="inlineStr">
        <is>
          <t>击破伤害</t>
        </is>
      </c>
      <c r="B30" s="13">
        <f>B17*B22*B23*B24*B25*B26*B27*B28</f>
        <v/>
      </c>
      <c r="C30" s="8" t="inlineStr">
        <is>
          <t>类型基数×等级系数×击破特攻×击破伤害提高×防御×抗性×减伤×易伤</t>
        </is>
      </c>
    </row>
    <row r="31" ht="32" customHeight="1">
      <c r="A31" s="12" t="inlineStr">
        <is>
          <t>超击破伤害（单次）</t>
        </is>
      </c>
      <c r="B31" s="15">
        <f>0.5*B22*(1+B10/100)*B23*B25*B26*B27*B28</f>
        <v/>
      </c>
      <c r="C31" s="8" t="inlineStr">
        <is>
          <t>0.5×等级系数×(1+超击破%)×击破特攻×防御×抗性×减伤×易伤</t>
        </is>
      </c>
    </row>
  </sheetData>
  <mergeCells count="4">
    <mergeCell ref="A1:D1"/>
    <mergeCell ref="A4:D4"/>
    <mergeCell ref="A20:D20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30A0"/>
    <outlinePr summaryBelow="1" summaryRight="1"/>
    <pageSetUpPr/>
  </sheetPr>
  <dimension ref="A1:D38"/>
  <sheetViews>
    <sheetView zoomScale="10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28" customWidth="1" min="3" max="3"/>
    <col width="18" customWidth="1" min="4" max="4"/>
  </cols>
  <sheetData>
    <row r="1" ht="36" customHeight="1">
      <c r="A1" s="1" t="inlineStr">
        <is>
          <t>欢愉伤害计算器（欢愉命途专用）</t>
        </is>
      </c>
    </row>
    <row r="2" ht="28" customHeight="1">
      <c r="A2" s="20" t="inlineStr">
        <is>
          <t>欢愉伤害 = 欢愉倍率 × (1+欢愉度%) × 笑点乘区 × (1+增笑%) × 暴击乘区 × 防御乘区 × 抗性乘区 × 减伤乘区 × 易伤乘区</t>
        </is>
      </c>
    </row>
    <row r="4" ht="28" customHeight="1">
      <c r="A4" s="4" t="inlineStr">
        <is>
          <t>▼ 欢愉属性输入</t>
        </is>
      </c>
      <c r="B4" s="2" t="n"/>
      <c r="C4" s="2" t="n"/>
      <c r="D4" s="2" t="n"/>
    </row>
    <row r="5">
      <c r="A5" s="5" t="inlineStr">
        <is>
          <t>属性名称</t>
        </is>
      </c>
      <c r="B5" s="5" t="inlineStr">
        <is>
          <t>输入值</t>
        </is>
      </c>
      <c r="C5" s="5" t="inlineStr">
        <is>
          <t>说明</t>
        </is>
      </c>
      <c r="D5" s="5" t="inlineStr">
        <is>
          <t>单位</t>
        </is>
      </c>
    </row>
    <row r="6">
      <c r="A6" s="6" t="inlineStr">
        <is>
          <t>角色等级</t>
        </is>
      </c>
      <c r="B6" s="7" t="n">
        <v>80</v>
      </c>
      <c r="C6" s="8" t="inlineStr">
        <is>
          <t>欢愉角色的等级</t>
        </is>
      </c>
      <c r="D6" s="9" t="inlineStr">
        <is>
          <t>级</t>
        </is>
      </c>
    </row>
    <row r="7">
      <c r="A7" s="6" t="inlineStr">
        <is>
          <t>欢愉技/技能倍率%</t>
        </is>
      </c>
      <c r="B7" s="7" t="n">
        <v>90</v>
      </c>
      <c r="C7" s="8" t="inlineStr">
        <is>
          <t>欢愉技的伤害倍率（如银狼45%×2=90%）</t>
        </is>
      </c>
      <c r="D7" s="9" t="inlineStr">
        <is>
          <t>%</t>
        </is>
      </c>
    </row>
    <row r="8">
      <c r="A8" s="6" t="inlineStr">
        <is>
          <t>欢愉度%（总和）</t>
        </is>
      </c>
      <c r="B8" s="7" t="n">
        <v>150</v>
      </c>
      <c r="C8" s="8" t="inlineStr">
        <is>
          <t>角色面板欢愉度%之和</t>
        </is>
      </c>
      <c r="D8" s="9" t="inlineStr">
        <is>
          <t>%</t>
        </is>
      </c>
    </row>
    <row r="9">
      <c r="A9" s="6" t="inlineStr">
        <is>
          <t>笑点数量</t>
        </is>
      </c>
      <c r="B9" s="7" t="n">
        <v>40</v>
      </c>
      <c r="C9" s="8" t="inlineStr">
        <is>
          <t>当前全队笑点总数</t>
        </is>
      </c>
      <c r="D9" s="9" t="inlineStr">
        <is>
          <t>个</t>
        </is>
      </c>
    </row>
    <row r="10">
      <c r="A10" s="6" t="inlineStr">
        <is>
          <t>增笑%</t>
        </is>
      </c>
      <c r="B10" s="7" t="n">
        <v>0</v>
      </c>
      <c r="C10" s="8" t="inlineStr">
        <is>
          <t>欢愉伤害增笑%效果之和</t>
        </is>
      </c>
      <c r="D10" s="9" t="inlineStr">
        <is>
          <t>%</t>
        </is>
      </c>
    </row>
    <row r="11">
      <c r="A11" s="6" t="inlineStr">
        <is>
          <t>暴击率%</t>
        </is>
      </c>
      <c r="B11" s="7" t="n">
        <v>70</v>
      </c>
      <c r="C11" s="8" t="inlineStr">
        <is>
          <t>角色暴击率</t>
        </is>
      </c>
      <c r="D11" s="9" t="inlineStr">
        <is>
          <t>%</t>
        </is>
      </c>
    </row>
    <row r="12">
      <c r="A12" s="6" t="inlineStr">
        <is>
          <t>暴击伤害%</t>
        </is>
      </c>
      <c r="B12" s="7" t="n">
        <v>140</v>
      </c>
      <c r="C12" s="8" t="inlineStr">
        <is>
          <t>角色暴击伤害</t>
        </is>
      </c>
      <c r="D12" s="9" t="inlineStr">
        <is>
          <t>%</t>
        </is>
      </c>
    </row>
    <row r="13">
      <c r="A13" s="6" t="inlineStr">
        <is>
          <t>易伤区%</t>
        </is>
      </c>
      <c r="B13" s="7" t="n">
        <v>16</v>
      </c>
      <c r="C13" s="8" t="inlineStr">
        <is>
          <t>敌方受到伤害提高%之和</t>
        </is>
      </c>
      <c r="D13" s="9" t="inlineStr">
        <is>
          <t>%</t>
        </is>
      </c>
    </row>
    <row r="14">
      <c r="A14" s="6" t="inlineStr">
        <is>
          <t>增伤区%</t>
        </is>
      </c>
      <c r="B14" s="7" t="n">
        <v>0</v>
      </c>
      <c r="C14" s="8" t="inlineStr">
        <is>
          <t>欢愉伤害通常不受增伤影响，特殊情况填入</t>
        </is>
      </c>
      <c r="D14" s="9" t="inlineStr">
        <is>
          <t>%</t>
        </is>
      </c>
    </row>
    <row r="15">
      <c r="A15" s="6" t="inlineStr">
        <is>
          <t>攻击者等级</t>
        </is>
      </c>
      <c r="B15" s="7" t="n">
        <v>80</v>
      </c>
      <c r="C15" s="8" t="inlineStr">
        <is>
          <t>我方角色等级</t>
        </is>
      </c>
      <c r="D15" s="9" t="inlineStr">
        <is>
          <t>级</t>
        </is>
      </c>
    </row>
    <row r="16">
      <c r="A16" s="6" t="inlineStr">
        <is>
          <t>敌方等级</t>
        </is>
      </c>
      <c r="B16" s="7" t="n">
        <v>95</v>
      </c>
      <c r="C16" s="8" t="inlineStr">
        <is>
          <t>怪物等级</t>
        </is>
      </c>
      <c r="D16" s="9" t="inlineStr">
        <is>
          <t>级</t>
        </is>
      </c>
    </row>
    <row r="17">
      <c r="A17" s="6" t="inlineStr">
        <is>
          <t>敌方基础抗性%</t>
        </is>
      </c>
      <c r="B17" s="7" t="n">
        <v>20</v>
      </c>
      <c r="C17" s="8" t="inlineStr">
        <is>
          <t>怪物元素抗性</t>
        </is>
      </c>
      <c r="D17" s="9" t="inlineStr">
        <is>
          <t>%</t>
        </is>
      </c>
    </row>
    <row r="18">
      <c r="A18" s="6" t="inlineStr">
        <is>
          <t>抗穿/减抗%</t>
        </is>
      </c>
      <c r="B18" s="7" t="n">
        <v>30</v>
      </c>
      <c r="C18" s="8" t="inlineStr">
        <is>
          <t>抗性穿透/减抗之和</t>
        </is>
      </c>
      <c r="D18" s="9" t="inlineStr">
        <is>
          <t>%</t>
        </is>
      </c>
    </row>
    <row r="19">
      <c r="A19" s="6" t="inlineStr">
        <is>
          <t>防御穿透/减防%</t>
        </is>
      </c>
      <c r="B19" s="7" t="n">
        <v>20</v>
      </c>
      <c r="C19" s="8" t="inlineStr">
        <is>
          <t>减防/无视防御%之和</t>
        </is>
      </c>
      <c r="D19" s="9" t="inlineStr">
        <is>
          <t>%</t>
        </is>
      </c>
    </row>
    <row r="20">
      <c r="A20" s="6" t="inlineStr">
        <is>
          <t>是否已击破弱点</t>
        </is>
      </c>
      <c r="B20" s="7" t="n">
        <v>0</v>
      </c>
      <c r="C20" s="8" t="inlineStr">
        <is>
          <t>已击破填1，未击破填0</t>
        </is>
      </c>
      <c r="D20" s="9" t="inlineStr">
        <is>
          <t>0/1</t>
        </is>
      </c>
    </row>
    <row r="21">
      <c r="A21" s="6" t="inlineStr">
        <is>
          <t>敌方额外减伤%</t>
        </is>
      </c>
      <c r="B21" s="7" t="n">
        <v>0</v>
      </c>
      <c r="C21" s="8" t="inlineStr">
        <is>
          <t>怪物自带减伤</t>
        </is>
      </c>
      <c r="D21" s="9" t="inlineStr">
        <is>
          <t>%</t>
        </is>
      </c>
    </row>
    <row r="23" ht="28" customHeight="1">
      <c r="A23" s="4" t="inlineStr">
        <is>
          <t>▼ 各乘区系数（自动计算）</t>
        </is>
      </c>
      <c r="B23" s="2" t="n"/>
      <c r="C23" s="2" t="n"/>
      <c r="D23" s="2" t="n"/>
    </row>
    <row r="24">
      <c r="A24" s="5" t="inlineStr">
        <is>
          <t>乘区名称</t>
        </is>
      </c>
      <c r="B24" s="5" t="inlineStr">
        <is>
          <t>乘区系数</t>
        </is>
      </c>
      <c r="C24" s="5" t="inlineStr">
        <is>
          <t>公式说明</t>
        </is>
      </c>
      <c r="D24" s="5" t="inlineStr">
        <is>
          <t>备注</t>
        </is>
      </c>
    </row>
    <row r="25">
      <c r="A25" s="6" t="inlineStr">
        <is>
          <t>等级系数</t>
        </is>
      </c>
      <c r="B25" s="10">
        <f>54.763*POWER(EXP(1),0.05*B6)</f>
        <v/>
      </c>
      <c r="C25" s="8" t="inlineStr">
        <is>
          <t>近似公式: 54.763 × e^(0.05×等级)</t>
        </is>
      </c>
      <c r="D25" s="11" t="inlineStr"/>
    </row>
    <row r="26">
      <c r="A26" s="6" t="inlineStr">
        <is>
          <t>欢愉基础伤害</t>
        </is>
      </c>
      <c r="B26" s="10">
        <f>B7/100*B25</f>
        <v/>
      </c>
      <c r="C26" s="8" t="inlineStr">
        <is>
          <t>欢愉倍率% × 等级系数</t>
        </is>
      </c>
      <c r="D26" s="11" t="inlineStr">
        <is>
          <t>基底</t>
        </is>
      </c>
    </row>
    <row r="27">
      <c r="A27" s="6" t="inlineStr">
        <is>
          <t>欢愉度乘区</t>
        </is>
      </c>
      <c r="B27" s="10">
        <f>1+B8/100</f>
        <v/>
      </c>
      <c r="C27" s="8" t="inlineStr">
        <is>
          <t>1 + 欢愉度%</t>
        </is>
      </c>
      <c r="D27" s="11" t="inlineStr">
        <is>
          <t>独立乘区</t>
        </is>
      </c>
    </row>
    <row r="28">
      <c r="A28" s="6" t="inlineStr">
        <is>
          <t>笑点乘区</t>
        </is>
      </c>
      <c r="B28" s="10">
        <f>1+B9*0.02</f>
        <v/>
      </c>
      <c r="C28" s="8" t="inlineStr">
        <is>
          <t>1 + 笑点数×0.02（每笑点+2%）</t>
        </is>
      </c>
      <c r="D28" s="11" t="inlineStr">
        <is>
          <t>近似，每笑点≈2%</t>
        </is>
      </c>
    </row>
    <row r="29">
      <c r="A29" s="6" t="inlineStr">
        <is>
          <t>增笑乘区</t>
        </is>
      </c>
      <c r="B29" s="10">
        <f>1+B10/100</f>
        <v/>
      </c>
      <c r="C29" s="8" t="inlineStr">
        <is>
          <t>1 + 增笑%</t>
        </is>
      </c>
      <c r="D29" s="11" t="inlineStr"/>
    </row>
    <row r="30">
      <c r="A30" s="6" t="inlineStr">
        <is>
          <t>暴击期望乘区</t>
        </is>
      </c>
      <c r="B30" s="10">
        <f>1+MIN(B11,100)/100*B12/100</f>
        <v/>
      </c>
      <c r="C30" s="8" t="inlineStr">
        <is>
          <t>1 + min(暴击率,100%) × 暴击伤害%</t>
        </is>
      </c>
      <c r="D30" s="11" t="inlineStr"/>
    </row>
    <row r="31">
      <c r="A31" s="6" t="inlineStr">
        <is>
          <t>增伤乘区</t>
        </is>
      </c>
      <c r="B31" s="10">
        <f>1+B14/100</f>
        <v/>
      </c>
      <c r="C31" s="8" t="inlineStr">
        <is>
          <t>1 + 增伤区%（欢愉伤害通常不受此影响）</t>
        </is>
      </c>
      <c r="D31" s="11" t="inlineStr">
        <is>
          <t>特殊情况</t>
        </is>
      </c>
    </row>
    <row r="32">
      <c r="A32" s="6" t="inlineStr">
        <is>
          <t>易伤乘区</t>
        </is>
      </c>
      <c r="B32" s="10">
        <f>1+B13/100</f>
        <v/>
      </c>
      <c r="C32" s="8" t="inlineStr">
        <is>
          <t>1 + 易伤区%</t>
        </is>
      </c>
      <c r="D32" s="11" t="inlineStr"/>
    </row>
    <row r="33">
      <c r="A33" s="6" t="inlineStr">
        <is>
          <t>防御乘区</t>
        </is>
      </c>
      <c r="B33" s="10">
        <f>1-((200+10*B16)*(1-B19/100))/((200+10*B16)*(1-B19/100)+200+10*B15)</f>
        <v/>
      </c>
      <c r="C33" s="8" t="inlineStr">
        <is>
          <t>同常规伤害防御乘区</t>
        </is>
      </c>
      <c r="D33" s="11" t="inlineStr"/>
    </row>
    <row r="34">
      <c r="A34" s="6" t="inlineStr">
        <is>
          <t>抗性乘区</t>
        </is>
      </c>
      <c r="B34" s="10">
        <f>1-MAX(-100,MIN(90,B17-B18))/100</f>
        <v/>
      </c>
      <c r="C34" s="8" t="inlineStr">
        <is>
          <t>同常规伤害抗性乘区</t>
        </is>
      </c>
      <c r="D34" s="11" t="inlineStr"/>
    </row>
    <row r="35">
      <c r="A35" s="6" t="inlineStr">
        <is>
          <t>减伤乘区</t>
        </is>
      </c>
      <c r="B35" s="10">
        <f>(1-B21/100)*IF(B20=1,1,0.9)</f>
        <v/>
      </c>
      <c r="C35" s="8" t="inlineStr">
        <is>
          <t>同常规伤害减伤公式</t>
        </is>
      </c>
      <c r="D35" s="11" t="inlineStr"/>
    </row>
    <row r="37" ht="32" customHeight="1">
      <c r="A37" s="12" t="inlineStr">
        <is>
          <t>期望欢愉伤害</t>
        </is>
      </c>
      <c r="B37" s="13">
        <f>B26*B27*B28*B29*B30*B31*B32*B33*B34*B35</f>
        <v/>
      </c>
      <c r="C37" s="8" t="inlineStr">
        <is>
          <t>基础×欢愉度×笑点×增笑×暴击×增伤×易伤×防御×抗性×减伤</t>
        </is>
      </c>
    </row>
    <row r="38" ht="32" customHeight="1">
      <c r="A38" s="12" t="inlineStr">
        <is>
          <t>暴击时欢愉伤害</t>
        </is>
      </c>
      <c r="B38" s="15">
        <f>B26*B27*B28*B29*(1+B12/100)*B31*B32*B33*B34*B35</f>
        <v/>
      </c>
      <c r="C38" s="8" t="inlineStr">
        <is>
          <t>暴击率=100%时的伤害</t>
        </is>
      </c>
    </row>
  </sheetData>
  <mergeCells count="4">
    <mergeCell ref="A1:D1"/>
    <mergeCell ref="A23:D23"/>
    <mergeCell ref="A4:D4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48235"/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72" customWidth="1" min="2" max="2"/>
  </cols>
  <sheetData>
    <row r="1" ht="36" customHeight="1">
      <c r="A1" s="1" t="inlineStr">
        <is>
          <t>星穹铁道伤害公式乘区说明</t>
        </is>
      </c>
    </row>
    <row r="3" ht="78" customHeight="1">
      <c r="A3" s="21" t="inlineStr">
        <is>
          <t>完整伤害公式</t>
        </is>
      </c>
      <c r="B3" s="22" t="inlineStr">
        <is>
          <t>最终伤害 = 基础伤害 × 增伤乘区 × 易伤乘区 × 暴击乘区 × 防御乘区 × 抗性乘区 × 减伤乘区
其中:
基础伤害 = (基础攻击力×(1+攻击力%) + 固定攻击力) × 技能倍率%</t>
        </is>
      </c>
    </row>
    <row r="4" ht="126" customHeight="1">
      <c r="A4" s="21" t="inlineStr">
        <is>
          <t>基础伤害</t>
        </is>
      </c>
      <c r="B4" s="22">
        <f> (白值攻击力 × (1 + 攻击力%加成总和) + 固定攻击力加成) × 技能倍率%
白值攻击力 = 角色基础攻击力 + 光锥基础攻击力
攻击力%加成 = 遗器主属性 + 副词条% + 光锥 + 队友增益 + 自身增益
固定攻击力 = 遗器副词条固定值 + 其他固定加成
※ 部分角色基于生命/防御出伤，此时替换为对应属性。</f>
        <v/>
      </c>
    </row>
    <row r="5" ht="78" customHeight="1">
      <c r="A5" s="21" t="inlineStr">
        <is>
          <t>增伤乘区</t>
        </is>
      </c>
      <c r="B5" s="22">
        <f> 1 + 所有增伤效果之和
包含: 元素伤害杯、光锥增伤、自身技能增伤、队友增伤（花火、阮梅等）
同类效果加算（如30%元素杯 + 20%光锥 = 50%，乘区=1.5）</f>
        <v/>
      </c>
    </row>
    <row r="6" ht="110" customHeight="1">
      <c r="A6" s="21" t="inlineStr">
        <is>
          <t>易伤乘区</t>
        </is>
      </c>
      <c r="B6" s="22">
        <f> 1 + 所有易伤效果之和
包含: 敌方"受到的伤害提高%"效果
与增伤乘区独立相乘，收益互不稀释
例: 爻光欢愉技【凶星低语】16%易伤</f>
        <v/>
      </c>
    </row>
    <row r="7" ht="110" customHeight="1">
      <c r="A7" s="21" t="inlineStr">
        <is>
          <t>暴击乘区</t>
        </is>
      </c>
      <c r="B7" s="22" t="inlineStr">
        <is>
          <t>期望伤害: = 1 + min(暴击率, 100%) × 暴击伤害%
暴击时:   = 1 + 暴击伤害%
非暴击:   = 1
暴击率超过100%无额外收益（除非角色有特殊机制）
火花被动: 每笑点+8%暴伤，最多80%</t>
        </is>
      </c>
    </row>
    <row r="8" ht="126" customHeight="1">
      <c r="A8" s="21" t="inlineStr">
        <is>
          <t>防御乘区</t>
        </is>
      </c>
      <c r="B8" s="22">
        <f> 1 - DEF×(1-减防%) / (DEF×(1-减防%) + 200 + 10×攻击者等级)
DEF = 200 + 10 × 怪物等级
减防% = 防御穿透% + 防御力降低%
80级打80级怪: 基础防御乘区 = 0.5（即减半）
80级打95级怪: 基础防御乘区 ≈ 0.434（防高了）</f>
        <v/>
      </c>
    </row>
    <row r="9" ht="110" customHeight="1">
      <c r="A9" s="21" t="inlineStr">
        <is>
          <t>抗性乘区</t>
        </is>
      </c>
      <c r="B9" s="22">
        <f> 1 - 最终抗性
最终抗性 = max(-100%, min(90%, 基础抗性 - 抗穿/减抗))
大部分怪物基础抗性20%
抗穿/减抗可以让最终抗性变为负数（最低-100%），此时抗性乘区&gt;1，即增伤
例: 20%基础抗 - 50%抗穿 = -30%最终抗 → 抗性乘区 = 1.3</f>
        <v/>
      </c>
    </row>
    <row r="10" ht="126" customHeight="1">
      <c r="A10" s="21" t="inlineStr">
        <is>
          <t>减伤乘区</t>
        </is>
      </c>
      <c r="B10" s="22">
        <f> (1 - 敌方减伤%) × 韧性减伤系数
韧性减伤系数:
  已击破弱点: 1.0
  未击破弱点: 0.9
大部分怪物自带减伤为0%</f>
        <v/>
      </c>
    </row>
    <row r="11" ht="174" customHeight="1">
      <c r="A11" s="21" t="inlineStr">
        <is>
          <t>击破伤害</t>
        </is>
      </c>
      <c r="B11" s="22">
        <f> 击破类型基数 × 等级系数 × (1+击破特攻%) × (1+击破伤害提高%) × 防御乘区 × 抗性乘区 × 减伤乘区 × 易伤乘区
击破类型基数:
  火/雷/风 = 2.0
  物理 = 1.0（含额外1次附加）
  冰 = 1.0
  量子 = 0.5（但触发纠缠额外伤害）
  虚数 = 0.5（但触发禁锢延迟伤害）
等级系数(80级) ≈ 3767.55</f>
        <v/>
      </c>
    </row>
    <row r="12" ht="78" customHeight="1">
      <c r="A12" s="21" t="inlineStr">
        <is>
          <t>超击破伤害</t>
        </is>
      </c>
      <c r="B12" s="22">
        <f> 0.5 × 等级系数 × (1+击破特攻%) × (1+超击破伤害提高%) × 防御乘区 × 抗性乘区 × 减伤乘区 × 易伤乘区
超击破在弱点击破后的额外伤害阶段触发
与怪物的最大韧性值相关</f>
        <v/>
      </c>
    </row>
    <row r="13" ht="174" customHeight="1">
      <c r="A13" s="21" t="inlineStr">
        <is>
          <t>欢愉伤害</t>
        </is>
      </c>
      <c r="B13" s="22">
        <f> 欢愉倍率% × 等级系数 × (1+欢愉度%) × 笑点乘区 × (1+增笑%) × 暴击乘区 × 防御乘区 × 抗性乘区 × 减伤乘区 × 易伤乘区
欢愉伤害的特殊性:
  ① 基底与角色攻击力无关，基于等级系数
  ② 不受常规"伤害提高%"效果影响（增伤乘区通常不生效）
  ③ 笑点乘区: 笔点越多伤害越高，每个笑点约+2%
  ④ 欢愉度是独立乘区，通过角色属性（速度/攻击力等）转化
  ⑤ 增笑%是独立乘区
  ⑥ 受暴击/防御/抗性/减伤/易伤影响
  ⑦ 不要佩戴元素伤害杯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2026-04-23T12:58:29Z</dcterms:created>
  <dcterms:modified xsi:type="dcterms:W3CDTF">2026-04-23T12:58:29Z</dcterms:modified>
</cp:coreProperties>
</file>